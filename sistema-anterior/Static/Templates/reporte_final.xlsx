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15360" windowHeight="7695"/>
  </bookViews>
  <sheets>
    <sheet name="Inicial 5Años" sheetId="2" r:id="rId1"/>
    <sheet name="BalanceGeneralOrdenado" sheetId="15" state="hidden" r:id="rId2"/>
  </sheets>
  <calcPr calcId="124519"/>
</workbook>
</file>

<file path=xl/calcChain.xml><?xml version="1.0" encoding="utf-8"?>
<calcChain xmlns="http://schemas.openxmlformats.org/spreadsheetml/2006/main">
  <c r="C42" i="15"/>
  <c r="E42"/>
  <c r="C41"/>
  <c r="C47"/>
  <c r="D47"/>
  <c r="D42"/>
  <c r="D41"/>
  <c r="E41"/>
  <c r="E47"/>
  <c r="D45" l="1"/>
  <c r="G41"/>
  <c r="F47"/>
  <c r="F41"/>
  <c r="F42"/>
  <c r="C45"/>
  <c r="E45"/>
  <c r="H47"/>
  <c r="G47" s="1"/>
  <c r="H42"/>
  <c r="G42" s="1"/>
  <c r="C43" l="1"/>
  <c r="E43"/>
  <c r="C40"/>
  <c r="D40"/>
  <c r="E40"/>
  <c r="H45"/>
  <c r="G45" s="1"/>
  <c r="F45"/>
  <c r="C46"/>
  <c r="D46"/>
  <c r="E46"/>
  <c r="D43"/>
  <c r="F26" l="1"/>
  <c r="C44"/>
  <c r="D44"/>
  <c r="E44"/>
  <c r="D51"/>
  <c r="E51"/>
  <c r="H46"/>
  <c r="G46" s="1"/>
  <c r="F46"/>
  <c r="H40"/>
  <c r="G40" s="1"/>
  <c r="F40"/>
  <c r="H43"/>
  <c r="G43" s="1"/>
  <c r="C51"/>
  <c r="F43"/>
  <c r="E26" l="1"/>
  <c r="C26"/>
  <c r="H51"/>
  <c r="G51"/>
  <c r="H44"/>
  <c r="G44"/>
  <c r="F44"/>
  <c r="C25"/>
  <c r="E25"/>
  <c r="F51"/>
  <c r="D26"/>
  <c r="D25"/>
  <c r="F25"/>
  <c r="H25" l="1"/>
  <c r="G26"/>
  <c r="F27"/>
  <c r="C49"/>
  <c r="D49"/>
  <c r="C50"/>
  <c r="D50"/>
  <c r="E50"/>
  <c r="I25"/>
  <c r="C48"/>
  <c r="C11"/>
  <c r="D48"/>
  <c r="C12"/>
  <c r="E48"/>
  <c r="C13"/>
  <c r="E49"/>
  <c r="J25"/>
  <c r="J26"/>
  <c r="H26"/>
  <c r="G25"/>
  <c r="I26"/>
  <c r="D13" l="1"/>
  <c r="C28"/>
  <c r="H49"/>
  <c r="K49"/>
  <c r="D12"/>
  <c r="D11"/>
  <c r="E27"/>
  <c r="C27"/>
  <c r="H50"/>
  <c r="K50"/>
  <c r="F50"/>
  <c r="I50"/>
  <c r="G49"/>
  <c r="J49"/>
  <c r="F49"/>
  <c r="I49"/>
  <c r="D28"/>
  <c r="F28"/>
  <c r="H48"/>
  <c r="K48"/>
  <c r="G48"/>
  <c r="J48"/>
  <c r="F48"/>
  <c r="I48"/>
  <c r="K46"/>
  <c r="K40"/>
  <c r="I47"/>
  <c r="I40"/>
  <c r="K47"/>
  <c r="K41"/>
  <c r="I41"/>
  <c r="H41" s="1"/>
  <c r="J42"/>
  <c r="K43"/>
  <c r="J45"/>
  <c r="J46"/>
  <c r="I43"/>
  <c r="K44"/>
  <c r="I44"/>
  <c r="K45"/>
  <c r="J43"/>
  <c r="J47"/>
  <c r="J41"/>
  <c r="I46"/>
  <c r="K51"/>
  <c r="J51"/>
  <c r="J44"/>
  <c r="I45"/>
  <c r="I51"/>
  <c r="I42"/>
  <c r="K42"/>
  <c r="J40"/>
  <c r="D27"/>
  <c r="G50"/>
  <c r="J50"/>
  <c r="E28" l="1"/>
  <c r="J28" s="1"/>
  <c r="I27"/>
  <c r="J27"/>
  <c r="H27"/>
  <c r="G27"/>
  <c r="H28" l="1"/>
  <c r="G28"/>
  <c r="I28"/>
  <c r="D29" l="1"/>
  <c r="E35"/>
  <c r="F34"/>
  <c r="C34"/>
  <c r="D32"/>
  <c r="E31"/>
  <c r="C24"/>
  <c r="F24"/>
  <c r="D24"/>
  <c r="D31"/>
  <c r="D33"/>
  <c r="D35"/>
  <c r="D30"/>
  <c r="E30"/>
  <c r="C30"/>
  <c r="C31"/>
  <c r="E29"/>
  <c r="C7"/>
  <c r="E34"/>
  <c r="E32"/>
  <c r="D34"/>
  <c r="H34" s="1"/>
  <c r="F31"/>
  <c r="C29"/>
  <c r="E24"/>
  <c r="F29" l="1"/>
  <c r="G29"/>
  <c r="C6"/>
  <c r="E33"/>
  <c r="G34"/>
  <c r="C33"/>
  <c r="C32"/>
  <c r="C35"/>
  <c r="C5"/>
  <c r="J31"/>
  <c r="H29"/>
  <c r="H24"/>
  <c r="I24"/>
  <c r="G24"/>
  <c r="F35"/>
  <c r="F33"/>
  <c r="G33" s="1"/>
  <c r="I29"/>
  <c r="I33"/>
  <c r="J24"/>
  <c r="J29"/>
  <c r="G31"/>
  <c r="H31"/>
  <c r="C8"/>
  <c r="F30"/>
  <c r="H30" s="1"/>
  <c r="F32"/>
  <c r="I31"/>
  <c r="I34"/>
  <c r="J34"/>
  <c r="G35" l="1"/>
  <c r="K30"/>
  <c r="H32"/>
  <c r="H35"/>
  <c r="I35"/>
  <c r="L30"/>
  <c r="M30"/>
  <c r="K27"/>
  <c r="I32"/>
  <c r="G32"/>
  <c r="M35"/>
  <c r="M32"/>
  <c r="L34"/>
  <c r="N29"/>
  <c r="N24"/>
  <c r="K34"/>
  <c r="M34"/>
  <c r="L35"/>
  <c r="L26"/>
  <c r="J30"/>
  <c r="N30"/>
  <c r="I30"/>
  <c r="M26"/>
  <c r="M25"/>
  <c r="N27"/>
  <c r="L27"/>
  <c r="K29"/>
  <c r="N31"/>
  <c r="K31"/>
  <c r="G30"/>
  <c r="K25"/>
  <c r="K26"/>
  <c r="M27"/>
  <c r="K28"/>
  <c r="L32"/>
  <c r="D8"/>
  <c r="D6"/>
  <c r="D7"/>
  <c r="D5"/>
  <c r="M24"/>
  <c r="N34"/>
  <c r="L24"/>
  <c r="N28"/>
  <c r="L33"/>
  <c r="K32"/>
  <c r="M33"/>
  <c r="L25"/>
  <c r="J35"/>
  <c r="N35"/>
  <c r="K33"/>
  <c r="J32"/>
  <c r="N32"/>
  <c r="N25"/>
  <c r="L28"/>
  <c r="L29"/>
  <c r="N26"/>
  <c r="M31"/>
  <c r="L31"/>
  <c r="M29"/>
  <c r="K35"/>
  <c r="M28"/>
  <c r="K24"/>
  <c r="J33"/>
  <c r="N33"/>
  <c r="H33"/>
</calcChain>
</file>

<file path=xl/sharedStrings.xml><?xml version="1.0" encoding="utf-8"?>
<sst xmlns="http://schemas.openxmlformats.org/spreadsheetml/2006/main" count="94" uniqueCount="52">
  <si>
    <t>N.</t>
  </si>
  <si>
    <t>APELLIDOS Y NOMBRES</t>
  </si>
  <si>
    <t>RENDIMIENTO ACADEMICO</t>
  </si>
  <si>
    <t>Puntual</t>
  </si>
  <si>
    <t>Moroso</t>
  </si>
  <si>
    <t>PENSION</t>
  </si>
  <si>
    <t>Bueno</t>
  </si>
  <si>
    <t>Regular</t>
  </si>
  <si>
    <t>Bajo</t>
  </si>
  <si>
    <t>Recontra Moroso</t>
  </si>
  <si>
    <t>Muy Bueno</t>
  </si>
  <si>
    <t>ACADEMICO</t>
  </si>
  <si>
    <t>BALANCE GENERALES DEL COLEGO</t>
  </si>
  <si>
    <t>BALANCE INICIAL 5 AÑOS</t>
  </si>
  <si>
    <t>I BIM</t>
  </si>
  <si>
    <t>II BIM</t>
  </si>
  <si>
    <t>III BIM</t>
  </si>
  <si>
    <t>IV BIM</t>
  </si>
  <si>
    <t>PROMEDIO</t>
  </si>
  <si>
    <t>ESCALAS DE NOTAS</t>
  </si>
  <si>
    <t>19 - 20</t>
  </si>
  <si>
    <t>17 - 18</t>
  </si>
  <si>
    <t>14- 15 - 16</t>
  </si>
  <si>
    <t>13 a menos</t>
  </si>
  <si>
    <t>Inicial 4 Años</t>
  </si>
  <si>
    <t>Inicial 5 Años</t>
  </si>
  <si>
    <t>1er Grado</t>
  </si>
  <si>
    <t>2do Grado</t>
  </si>
  <si>
    <t>3er Grado</t>
  </si>
  <si>
    <t>4to Grado</t>
  </si>
  <si>
    <t>5to Grado</t>
  </si>
  <si>
    <t>6to Grado</t>
  </si>
  <si>
    <t>1er Año</t>
  </si>
  <si>
    <t>2do Año</t>
  </si>
  <si>
    <t>3er Año</t>
  </si>
  <si>
    <t>Avanzada</t>
  </si>
  <si>
    <t>NIVEL ACADEMICO POR SECCION</t>
  </si>
  <si>
    <t>ESTADO DE PENSIONES POR SECCIONES</t>
  </si>
  <si>
    <t>Muy Bueno %</t>
  </si>
  <si>
    <t>Bueno %</t>
  </si>
  <si>
    <t>Regular %</t>
  </si>
  <si>
    <t>Bajo %</t>
  </si>
  <si>
    <t>Puntual %</t>
  </si>
  <si>
    <t>Moroso %</t>
  </si>
  <si>
    <t>Recontra Moroso %</t>
  </si>
  <si>
    <t>POR SU AULA</t>
  </si>
  <si>
    <t>POR TODO EL COLEGIO</t>
  </si>
  <si>
    <t>NIVEL ACADEMICO GENERAL</t>
  </si>
  <si>
    <t>ESTADO DE PENSION GENERAL</t>
  </si>
  <si>
    <t>PROM</t>
  </si>
  <si>
    <t>POR CURSO</t>
  </si>
  <si>
    <t>PROYECTA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</si>
</sst>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9" fontId="0" fillId="0" borderId="1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9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1" fontId="0" fillId="0" borderId="0" xfId="0" applyNumberFormat="1" applyFont="1" applyBorder="1" applyAlignment="1">
      <alignment wrapText="1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 sz="2000">
                <a:solidFill>
                  <a:srgbClr val="FF0000"/>
                </a:solidFill>
              </a:defRPr>
            </a:pPr>
            <a:r>
              <a:rPr lang="es-PE" sz="2000">
                <a:solidFill>
                  <a:srgbClr val="FF0000"/>
                </a:solidFill>
              </a:rPr>
              <a:t>Balance</a:t>
            </a:r>
            <a:r>
              <a:rPr lang="es-PE" sz="2000" baseline="0">
                <a:solidFill>
                  <a:srgbClr val="FF0000"/>
                </a:solidFill>
              </a:rPr>
              <a:t> General Nivel Academico</a:t>
            </a:r>
            <a:endParaRPr lang="es-PE" sz="2000">
              <a:solidFill>
                <a:srgbClr val="FF0000"/>
              </a:solidFill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1"/>
          <c:order val="0"/>
          <c:dLbls>
            <c:dLbl>
              <c:idx val="0"/>
              <c:layout>
                <c:manualLayout>
                  <c:x val="2.5000000000000001E-2"/>
                  <c:y val="-4.1666666666666664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3.0555555555555516E-2"/>
                  <c:y val="-4.1666666666666664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0555555555555582E-2"/>
                  <c:y val="-5.0925925925925992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3.0555555555555582E-2"/>
                  <c:y val="-5.0925925925925923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sz="1100" b="1">
                    <a:solidFill>
                      <a:srgbClr val="FF0000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BalanceGeneralOrdenado!$B$5:$B$8</c:f>
              <c:strCache>
                <c:ptCount val="4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Bajo</c:v>
                </c:pt>
              </c:strCache>
            </c:strRef>
          </c:cat>
          <c:val>
            <c:numRef>
              <c:f>BalanceGeneralOrdenado!$D$5:$D$8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Val val="1"/>
        </c:dLbls>
        <c:shape val="box"/>
        <c:axId val="59671296"/>
        <c:axId val="59672832"/>
        <c:axId val="0"/>
      </c:bar3DChart>
      <c:catAx>
        <c:axId val="59671296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sz="1100" b="1"/>
            </a:pPr>
            <a:endParaRPr lang="es-ES"/>
          </a:p>
        </c:txPr>
        <c:crossAx val="59672832"/>
        <c:crosses val="autoZero"/>
        <c:auto val="1"/>
        <c:lblAlgn val="ctr"/>
        <c:lblOffset val="100"/>
      </c:catAx>
      <c:valAx>
        <c:axId val="59672832"/>
        <c:scaling>
          <c:orientation val="minMax"/>
        </c:scaling>
        <c:delete val="1"/>
        <c:axPos val="l"/>
        <c:numFmt formatCode="0%" sourceLinked="1"/>
        <c:tickLblPos val="none"/>
        <c:crossAx val="59671296"/>
        <c:crosses val="autoZero"/>
        <c:crossBetween val="between"/>
      </c:valAx>
    </c:plotArea>
    <c:plotVisOnly val="1"/>
    <c:dispBlanksAs val="gap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 sz="2000">
                <a:solidFill>
                  <a:schemeClr val="accent1"/>
                </a:solidFill>
              </a:defRPr>
            </a:pPr>
            <a:r>
              <a:rPr lang="es-PE" sz="2000">
                <a:solidFill>
                  <a:schemeClr val="accent1"/>
                </a:solidFill>
              </a:rPr>
              <a:t>Balance General Estado de Pension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1"/>
          <c:order val="0"/>
          <c:spPr>
            <a:solidFill>
              <a:schemeClr val="tx2">
                <a:lumMod val="60000"/>
                <a:lumOff val="40000"/>
              </a:schemeClr>
            </a:solidFill>
          </c:spPr>
          <c:dLbls>
            <c:dLbl>
              <c:idx val="0"/>
              <c:layout>
                <c:manualLayout>
                  <c:x val="3.8095238095238099E-2"/>
                  <c:y val="-4.4817919262812443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3.5555555555555556E-2"/>
                  <c:y val="-5.3781503115374725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8095238095238099E-2"/>
                  <c:y val="-5.8263295041655894E-2"/>
                </c:manualLayout>
              </c:layout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sz="1100" b="1"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BalanceGeneralOrdenado!$B$11:$B$13</c:f>
              <c:strCache>
                <c:ptCount val="3"/>
                <c:pt idx="0">
                  <c:v>Puntual</c:v>
                </c:pt>
                <c:pt idx="1">
                  <c:v>Moroso</c:v>
                </c:pt>
                <c:pt idx="2">
                  <c:v>Recontra Moroso</c:v>
                </c:pt>
              </c:strCache>
            </c:strRef>
          </c:cat>
          <c:val>
            <c:numRef>
              <c:f>BalanceGeneralOrdenado!$D$11:$D$13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Val val="1"/>
        </c:dLbls>
        <c:shape val="box"/>
        <c:axId val="59742464"/>
        <c:axId val="69627904"/>
        <c:axId val="0"/>
      </c:bar3DChart>
      <c:catAx>
        <c:axId val="59742464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sz="1100" b="1"/>
            </a:pPr>
            <a:endParaRPr lang="es-ES"/>
          </a:p>
        </c:txPr>
        <c:crossAx val="69627904"/>
        <c:crosses val="autoZero"/>
        <c:auto val="1"/>
        <c:lblAlgn val="ctr"/>
        <c:lblOffset val="100"/>
      </c:catAx>
      <c:valAx>
        <c:axId val="69627904"/>
        <c:scaling>
          <c:orientation val="minMax"/>
        </c:scaling>
        <c:delete val="1"/>
        <c:axPos val="l"/>
        <c:numFmt formatCode="0%" sourceLinked="1"/>
        <c:tickLblPos val="none"/>
        <c:crossAx val="59742464"/>
        <c:crosses val="autoZero"/>
        <c:crossBetween val="between"/>
      </c:valAx>
    </c:plotArea>
    <c:plotVisOnly val="1"/>
    <c:dispBlanksAs val="gap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NIVEL</a:t>
            </a:r>
            <a:r>
              <a:rPr lang="es-PE" baseline="0"/>
              <a:t> ACADEMICO - "MUY BUENO"</a:t>
            </a:r>
          </a:p>
          <a:p>
            <a:pPr>
              <a:defRPr lang="es-PE"/>
            </a:pPr>
            <a:r>
              <a:rPr lang="es-PE" baseline="0"/>
              <a:t>POR AULA</a:t>
            </a:r>
            <a:endParaRPr lang="es-PE"/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>
                    <a:solidFill>
                      <a:sysClr val="windowText" lastClr="000000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BalanceGeneralOrdenado!$G$24:$G$35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652480"/>
        <c:axId val="69654016"/>
        <c:axId val="0"/>
      </c:bar3DChart>
      <c:catAx>
        <c:axId val="69652480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>
                <a:solidFill>
                  <a:sysClr val="windowText" lastClr="000000"/>
                </a:solidFill>
              </a:defRPr>
            </a:pPr>
            <a:endParaRPr lang="es-ES"/>
          </a:p>
        </c:txPr>
        <c:crossAx val="69654016"/>
        <c:crosses val="autoZero"/>
        <c:auto val="1"/>
        <c:lblAlgn val="ctr"/>
        <c:lblOffset val="100"/>
      </c:catAx>
      <c:valAx>
        <c:axId val="69654016"/>
        <c:scaling>
          <c:orientation val="minMax"/>
        </c:scaling>
        <c:delete val="1"/>
        <c:axPos val="l"/>
        <c:numFmt formatCode="0%" sourceLinked="1"/>
        <c:tickLblPos val="none"/>
        <c:crossAx val="69652480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 algn="ctr">
              <a:defRPr lang="es-PE"/>
            </a:pPr>
            <a:r>
              <a:rPr lang="es-PE" sz="1800" b="1" i="0" baseline="0">
                <a:effectLst/>
              </a:rPr>
              <a:t>BALANCE NIVEL ACADEMICO - "BUENO"</a:t>
            </a:r>
            <a:endParaRPr lang="es-PE">
              <a:effectLst/>
            </a:endParaRPr>
          </a:p>
          <a:p>
            <a:pPr algn="ctr">
              <a:defRPr lang="es-PE"/>
            </a:pPr>
            <a:r>
              <a:rPr lang="es-PE" sz="1800" b="1" i="0" baseline="0">
                <a:effectLst/>
              </a:rPr>
              <a:t>POR AULA</a:t>
            </a:r>
            <a:endParaRPr lang="es-PE">
              <a:effectLst/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>
                    <a:solidFill>
                      <a:sysClr val="windowText" lastClr="000000"/>
                    </a:solidFill>
                  </a:defRPr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BalanceGeneralOrdenado!$H$24:$H$35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682688"/>
        <c:axId val="69684224"/>
        <c:axId val="0"/>
      </c:bar3DChart>
      <c:catAx>
        <c:axId val="6968268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>
                <a:solidFill>
                  <a:sysClr val="windowText" lastClr="000000"/>
                </a:solidFill>
              </a:defRPr>
            </a:pPr>
            <a:endParaRPr lang="es-ES"/>
          </a:p>
        </c:txPr>
        <c:crossAx val="69684224"/>
        <c:crosses val="autoZero"/>
        <c:auto val="1"/>
        <c:lblAlgn val="ctr"/>
        <c:lblOffset val="100"/>
      </c:catAx>
      <c:valAx>
        <c:axId val="69684224"/>
        <c:scaling>
          <c:orientation val="minMax"/>
        </c:scaling>
        <c:delete val="1"/>
        <c:axPos val="l"/>
        <c:numFmt formatCode="0%" sourceLinked="1"/>
        <c:tickLblPos val="none"/>
        <c:crossAx val="6968268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NIVEL ACADEMICO "REGULAR" POR AULA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BalanceGeneralOrdenado!$I$24:$I$35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708800"/>
        <c:axId val="69710592"/>
        <c:axId val="0"/>
      </c:bar3DChart>
      <c:catAx>
        <c:axId val="69708800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69710592"/>
        <c:crosses val="autoZero"/>
        <c:auto val="1"/>
        <c:lblAlgn val="ctr"/>
        <c:lblOffset val="100"/>
      </c:catAx>
      <c:valAx>
        <c:axId val="69710592"/>
        <c:scaling>
          <c:orientation val="minMax"/>
        </c:scaling>
        <c:delete val="1"/>
        <c:axPos val="l"/>
        <c:numFmt formatCode="0%" sourceLinked="1"/>
        <c:tickLblPos val="none"/>
        <c:crossAx val="69708800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NIVEL ACADEMICO "BAJO" POR AULA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BalanceGeneralOrdenado!$B$24:$B$35</c:f>
              <c:strCache>
                <c:ptCount val="12"/>
                <c:pt idx="0">
                  <c:v>1er Grado</c:v>
                </c:pt>
                <c:pt idx="1">
                  <c:v>2do Grado</c:v>
                </c:pt>
                <c:pt idx="2">
                  <c:v>3er Grado</c:v>
                </c:pt>
                <c:pt idx="3">
                  <c:v>Inicial 4 Años</c:v>
                </c:pt>
                <c:pt idx="4">
                  <c:v>Inicial 5 Años</c:v>
                </c:pt>
                <c:pt idx="5">
                  <c:v>4to Grado</c:v>
                </c:pt>
                <c:pt idx="6">
                  <c:v>6to Grado</c:v>
                </c:pt>
                <c:pt idx="7">
                  <c:v>5to Grado</c:v>
                </c:pt>
                <c:pt idx="8">
                  <c:v>2do Año</c:v>
                </c:pt>
                <c:pt idx="9">
                  <c:v>3er Año</c:v>
                </c:pt>
                <c:pt idx="10">
                  <c:v>Avanzada</c:v>
                </c:pt>
                <c:pt idx="11">
                  <c:v>1er Año</c:v>
                </c:pt>
              </c:strCache>
            </c:strRef>
          </c:cat>
          <c:val>
            <c:numRef>
              <c:f>BalanceGeneralOrdenado!$J$24:$J$35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960448"/>
        <c:axId val="69961984"/>
        <c:axId val="0"/>
      </c:bar3DChart>
      <c:catAx>
        <c:axId val="6996044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69961984"/>
        <c:crosses val="autoZero"/>
        <c:auto val="1"/>
        <c:lblAlgn val="ctr"/>
        <c:lblOffset val="100"/>
      </c:catAx>
      <c:valAx>
        <c:axId val="69961984"/>
        <c:scaling>
          <c:orientation val="minMax"/>
        </c:scaling>
        <c:delete val="1"/>
        <c:axPos val="l"/>
        <c:numFmt formatCode="0%" sourceLinked="1"/>
        <c:tickLblPos val="none"/>
        <c:crossAx val="6996044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/>
              <a:t>BALANCE ESTADO PENSIONES - "PUNTUAL" POR</a:t>
            </a:r>
            <a:r>
              <a:rPr lang="es-PE" baseline="0"/>
              <a:t> AULA</a:t>
            </a:r>
            <a:endParaRPr lang="es-PE"/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BalanceGeneralOrdenado!$B$40:$B$51</c:f>
              <c:strCache>
                <c:ptCount val="12"/>
                <c:pt idx="0">
                  <c:v>6to Grado</c:v>
                </c:pt>
                <c:pt idx="1">
                  <c:v>3er Año</c:v>
                </c:pt>
                <c:pt idx="2">
                  <c:v>2do Año</c:v>
                </c:pt>
                <c:pt idx="3">
                  <c:v>5to Grado</c:v>
                </c:pt>
                <c:pt idx="4">
                  <c:v>2do Grado</c:v>
                </c:pt>
                <c:pt idx="5">
                  <c:v>1er Año</c:v>
                </c:pt>
                <c:pt idx="6">
                  <c:v>4to Grado</c:v>
                </c:pt>
                <c:pt idx="7">
                  <c:v>Avanzada</c:v>
                </c:pt>
                <c:pt idx="8">
                  <c:v>Inicial 4 Años</c:v>
                </c:pt>
                <c:pt idx="9">
                  <c:v>Inicial 5 Años</c:v>
                </c:pt>
                <c:pt idx="10">
                  <c:v>1er Grado</c:v>
                </c:pt>
                <c:pt idx="11">
                  <c:v>3er Grado</c:v>
                </c:pt>
              </c:strCache>
            </c:strRef>
          </c:cat>
          <c:val>
            <c:numRef>
              <c:f>BalanceGeneralOrdenado!$F$40:$F$51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69978368"/>
        <c:axId val="78450688"/>
        <c:axId val="0"/>
      </c:bar3DChart>
      <c:catAx>
        <c:axId val="6997836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78450688"/>
        <c:crosses val="autoZero"/>
        <c:auto val="1"/>
        <c:lblAlgn val="ctr"/>
        <c:lblOffset val="100"/>
      </c:catAx>
      <c:valAx>
        <c:axId val="78450688"/>
        <c:scaling>
          <c:orientation val="minMax"/>
        </c:scaling>
        <c:delete val="1"/>
        <c:axPos val="l"/>
        <c:numFmt formatCode="0%" sourceLinked="1"/>
        <c:tickLblPos val="none"/>
        <c:crossAx val="6997836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 sz="1800" b="1" i="0" baseline="0">
                <a:effectLst/>
              </a:rPr>
              <a:t>BALANCE ESTADO PENSIONES - "MOROSO" POR AULA</a:t>
            </a:r>
            <a:endParaRPr lang="es-PE">
              <a:effectLst/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BalanceGeneralOrdenado!$B$40:$B$51</c:f>
              <c:strCache>
                <c:ptCount val="12"/>
                <c:pt idx="0">
                  <c:v>6to Grado</c:v>
                </c:pt>
                <c:pt idx="1">
                  <c:v>3er Año</c:v>
                </c:pt>
                <c:pt idx="2">
                  <c:v>2do Año</c:v>
                </c:pt>
                <c:pt idx="3">
                  <c:v>5to Grado</c:v>
                </c:pt>
                <c:pt idx="4">
                  <c:v>2do Grado</c:v>
                </c:pt>
                <c:pt idx="5">
                  <c:v>1er Año</c:v>
                </c:pt>
                <c:pt idx="6">
                  <c:v>4to Grado</c:v>
                </c:pt>
                <c:pt idx="7">
                  <c:v>Avanzada</c:v>
                </c:pt>
                <c:pt idx="8">
                  <c:v>Inicial 4 Años</c:v>
                </c:pt>
                <c:pt idx="9">
                  <c:v>Inicial 5 Años</c:v>
                </c:pt>
                <c:pt idx="10">
                  <c:v>1er Grado</c:v>
                </c:pt>
                <c:pt idx="11">
                  <c:v>3er Grado</c:v>
                </c:pt>
              </c:strCache>
            </c:strRef>
          </c:cat>
          <c:val>
            <c:numRef>
              <c:f>BalanceGeneralOrdenado!$G$40:$G$51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78467072"/>
        <c:axId val="78468608"/>
        <c:axId val="0"/>
      </c:bar3DChart>
      <c:catAx>
        <c:axId val="78467072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78468608"/>
        <c:crosses val="autoZero"/>
        <c:auto val="1"/>
        <c:lblAlgn val="ctr"/>
        <c:lblOffset val="100"/>
      </c:catAx>
      <c:valAx>
        <c:axId val="78468608"/>
        <c:scaling>
          <c:orientation val="minMax"/>
        </c:scaling>
        <c:delete val="1"/>
        <c:axPos val="l"/>
        <c:numFmt formatCode="0%" sourceLinked="1"/>
        <c:tickLblPos val="none"/>
        <c:crossAx val="78467072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PE"/>
            </a:pPr>
            <a:r>
              <a:rPr lang="es-PE" sz="1800" b="1" i="0" baseline="0">
                <a:effectLst/>
              </a:rPr>
              <a:t>BALANCE ESTADO PENSIONES - "RECONTRA MOROSO" POR AULA</a:t>
            </a:r>
            <a:endParaRPr lang="es-PE">
              <a:effectLst/>
            </a:endParaRP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PE" b="1"/>
                </a:pPr>
                <a:endParaRPr lang="es-E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BalanceGeneralOrdenado!$B$40:$B$51</c:f>
              <c:strCache>
                <c:ptCount val="12"/>
                <c:pt idx="0">
                  <c:v>6to Grado</c:v>
                </c:pt>
                <c:pt idx="1">
                  <c:v>3er Año</c:v>
                </c:pt>
                <c:pt idx="2">
                  <c:v>2do Año</c:v>
                </c:pt>
                <c:pt idx="3">
                  <c:v>5to Grado</c:v>
                </c:pt>
                <c:pt idx="4">
                  <c:v>2do Grado</c:v>
                </c:pt>
                <c:pt idx="5">
                  <c:v>1er Año</c:v>
                </c:pt>
                <c:pt idx="6">
                  <c:v>4to Grado</c:v>
                </c:pt>
                <c:pt idx="7">
                  <c:v>Avanzada</c:v>
                </c:pt>
                <c:pt idx="8">
                  <c:v>Inicial 4 Años</c:v>
                </c:pt>
                <c:pt idx="9">
                  <c:v>Inicial 5 Años</c:v>
                </c:pt>
                <c:pt idx="10">
                  <c:v>1er Grado</c:v>
                </c:pt>
                <c:pt idx="11">
                  <c:v>3er Grado</c:v>
                </c:pt>
              </c:strCache>
            </c:strRef>
          </c:cat>
          <c:val>
            <c:numRef>
              <c:f>BalanceGeneralOrdenado!$H$40:$H$51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Val val="1"/>
        </c:dLbls>
        <c:shape val="box"/>
        <c:axId val="78509568"/>
        <c:axId val="78511104"/>
        <c:axId val="0"/>
      </c:bar3DChart>
      <c:catAx>
        <c:axId val="78509568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lang="es-PE" b="1"/>
            </a:pPr>
            <a:endParaRPr lang="es-ES"/>
          </a:p>
        </c:txPr>
        <c:crossAx val="78511104"/>
        <c:crosses val="autoZero"/>
        <c:auto val="1"/>
        <c:lblAlgn val="ctr"/>
        <c:lblOffset val="100"/>
      </c:catAx>
      <c:valAx>
        <c:axId val="78511104"/>
        <c:scaling>
          <c:orientation val="minMax"/>
        </c:scaling>
        <c:delete val="1"/>
        <c:axPos val="l"/>
        <c:numFmt formatCode="0%" sourceLinked="1"/>
        <c:tickLblPos val="none"/>
        <c:crossAx val="78509568"/>
        <c:crosses val="autoZero"/>
        <c:crossBetween val="between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0</xdr:row>
      <xdr:rowOff>119062</xdr:rowOff>
    </xdr:from>
    <xdr:to>
      <xdr:col>11</xdr:col>
      <xdr:colOff>314325</xdr:colOff>
      <xdr:row>8</xdr:row>
      <xdr:rowOff>4762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676274</xdr:colOff>
      <xdr:row>8</xdr:row>
      <xdr:rowOff>166687</xdr:rowOff>
    </xdr:from>
    <xdr:to>
      <xdr:col>11</xdr:col>
      <xdr:colOff>342899</xdr:colOff>
      <xdr:row>18</xdr:row>
      <xdr:rowOff>152400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228599</xdr:colOff>
      <xdr:row>21</xdr:row>
      <xdr:rowOff>171450</xdr:rowOff>
    </xdr:from>
    <xdr:to>
      <xdr:col>19</xdr:col>
      <xdr:colOff>742950</xdr:colOff>
      <xdr:row>30</xdr:row>
      <xdr:rowOff>190499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247650</xdr:colOff>
      <xdr:row>31</xdr:row>
      <xdr:rowOff>4762</xdr:rowOff>
    </xdr:from>
    <xdr:to>
      <xdr:col>20</xdr:col>
      <xdr:colOff>9525</xdr:colOff>
      <xdr:row>40</xdr:row>
      <xdr:rowOff>142875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47625</xdr:colOff>
      <xdr:row>21</xdr:row>
      <xdr:rowOff>166687</xdr:rowOff>
    </xdr:from>
    <xdr:to>
      <xdr:col>25</xdr:col>
      <xdr:colOff>704850</xdr:colOff>
      <xdr:row>30</xdr:row>
      <xdr:rowOff>190500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66675</xdr:colOff>
      <xdr:row>30</xdr:row>
      <xdr:rowOff>257175</xdr:rowOff>
    </xdr:from>
    <xdr:to>
      <xdr:col>25</xdr:col>
      <xdr:colOff>714375</xdr:colOff>
      <xdr:row>40</xdr:row>
      <xdr:rowOff>142876</xdr:rowOff>
    </xdr:to>
    <xdr:graphicFrame macro="">
      <xdr:nvGraphicFramePr>
        <xdr:cNvPr id="7" name="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266700</xdr:colOff>
      <xdr:row>40</xdr:row>
      <xdr:rowOff>242887</xdr:rowOff>
    </xdr:from>
    <xdr:to>
      <xdr:col>20</xdr:col>
      <xdr:colOff>19050</xdr:colOff>
      <xdr:row>50</xdr:row>
      <xdr:rowOff>38100</xdr:rowOff>
    </xdr:to>
    <xdr:graphicFrame macro="">
      <xdr:nvGraphicFramePr>
        <xdr:cNvPr id="12" name="1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76200</xdr:colOff>
      <xdr:row>40</xdr:row>
      <xdr:rowOff>233362</xdr:rowOff>
    </xdr:from>
    <xdr:to>
      <xdr:col>25</xdr:col>
      <xdr:colOff>723900</xdr:colOff>
      <xdr:row>50</xdr:row>
      <xdr:rowOff>28575</xdr:rowOff>
    </xdr:to>
    <xdr:graphicFrame macro="">
      <xdr:nvGraphicFramePr>
        <xdr:cNvPr id="13" name="1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9525</xdr:colOff>
      <xdr:row>40</xdr:row>
      <xdr:rowOff>233362</xdr:rowOff>
    </xdr:from>
    <xdr:to>
      <xdr:col>31</xdr:col>
      <xdr:colOff>390525</xdr:colOff>
      <xdr:row>50</xdr:row>
      <xdr:rowOff>28575</xdr:rowOff>
    </xdr:to>
    <xdr:graphicFrame macro="">
      <xdr:nvGraphicFramePr>
        <xdr:cNvPr id="14" name="1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zoomScale="80" zoomScaleNormal="80" workbookViewId="0">
      <selection activeCell="O9" sqref="O9"/>
    </sheetView>
  </sheetViews>
  <sheetFormatPr baseColWidth="10" defaultRowHeight="15"/>
  <cols>
    <col min="1" max="1" width="5" style="9" customWidth="1"/>
    <col min="2" max="2" width="34.28515625" style="9" customWidth="1"/>
    <col min="3" max="6" width="7.28515625" style="9" customWidth="1"/>
    <col min="7" max="7" width="10.85546875" style="9" customWidth="1"/>
    <col min="8" max="8" width="12.28515625" style="9" customWidth="1"/>
    <col min="9" max="9" width="9.85546875" style="9" customWidth="1"/>
    <col min="10" max="10" width="8.28515625" style="9" customWidth="1"/>
    <col min="11" max="11" width="14" style="10" customWidth="1"/>
    <col min="12" max="12" width="11.42578125" style="10"/>
    <col min="13" max="13" width="11.85546875" style="10" bestFit="1" customWidth="1"/>
    <col min="14" max="14" width="11.42578125" style="9"/>
    <col min="15" max="15" width="27.7109375" style="9" customWidth="1"/>
    <col min="16" max="23" width="11.42578125" style="9"/>
    <col min="24" max="24" width="5" style="9" customWidth="1"/>
    <col min="25" max="25" width="34.28515625" style="9" customWidth="1"/>
    <col min="26" max="16384" width="11.42578125" style="9"/>
  </cols>
  <sheetData>
    <row r="1" spans="1:25" s="10" customFormat="1" ht="33.75" customHeight="1" thickBot="1">
      <c r="A1" s="57" t="s">
        <v>0</v>
      </c>
      <c r="B1" s="15" t="s">
        <v>1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58" t="s">
        <v>2</v>
      </c>
      <c r="I1" s="68" t="s">
        <v>5</v>
      </c>
      <c r="J1" s="54"/>
      <c r="K1" s="54"/>
      <c r="L1" s="54"/>
      <c r="M1" s="54"/>
      <c r="N1" s="54"/>
      <c r="O1" s="59" t="s">
        <v>13</v>
      </c>
      <c r="P1" s="54"/>
      <c r="Q1" s="54"/>
      <c r="R1" s="54"/>
      <c r="S1" s="54"/>
      <c r="T1" s="54"/>
      <c r="X1" s="57" t="s">
        <v>0</v>
      </c>
      <c r="Y1" s="15" t="s">
        <v>1</v>
      </c>
    </row>
    <row r="2" spans="1:25" s="10" customFormat="1" ht="33" customHeight="1" thickBot="1">
      <c r="A2" s="69"/>
      <c r="B2" s="69"/>
      <c r="C2" s="69"/>
      <c r="D2" s="69"/>
      <c r="E2" s="69"/>
      <c r="F2" s="69"/>
      <c r="G2" s="70"/>
      <c r="H2" s="69"/>
      <c r="I2" s="69"/>
      <c r="J2" s="54"/>
      <c r="K2" s="60" t="s">
        <v>11</v>
      </c>
      <c r="L2" s="61"/>
      <c r="M2" s="62"/>
      <c r="N2" s="54"/>
      <c r="O2" s="7" t="s">
        <v>50</v>
      </c>
      <c r="P2" s="56" t="s">
        <v>49</v>
      </c>
      <c r="Q2" s="7" t="s">
        <v>51</v>
      </c>
      <c r="R2" s="54"/>
      <c r="S2" s="54"/>
      <c r="T2" s="54"/>
    </row>
    <row r="3" spans="1:25" s="10" customFormat="1" ht="33" customHeight="1" thickBot="1">
      <c r="A3" s="69"/>
      <c r="B3" s="69"/>
      <c r="C3" s="69"/>
      <c r="D3" s="69"/>
      <c r="E3" s="69"/>
      <c r="F3" s="69"/>
      <c r="G3" s="70"/>
      <c r="H3" s="69"/>
      <c r="I3" s="69"/>
      <c r="J3" s="54"/>
      <c r="K3" s="5" t="s">
        <v>10</v>
      </c>
      <c r="L3" s="12"/>
      <c r="M3" s="1"/>
      <c r="N3" s="54"/>
      <c r="O3" s="54"/>
      <c r="P3" s="54"/>
      <c r="Q3" s="54"/>
    </row>
    <row r="4" spans="1:25" s="10" customFormat="1" ht="33" customHeight="1" thickBot="1">
      <c r="A4" s="69"/>
      <c r="B4" s="69"/>
      <c r="C4" s="69"/>
      <c r="D4" s="69"/>
      <c r="E4" s="69"/>
      <c r="F4" s="69"/>
      <c r="G4" s="70"/>
      <c r="H4" s="69"/>
      <c r="I4" s="69"/>
      <c r="J4" s="54"/>
      <c r="K4" s="56" t="s">
        <v>6</v>
      </c>
      <c r="L4" s="11"/>
      <c r="M4" s="2"/>
      <c r="N4" s="54"/>
      <c r="O4" s="54"/>
      <c r="P4" s="54"/>
      <c r="Q4" s="54"/>
    </row>
    <row r="5" spans="1:25" s="10" customFormat="1" ht="33" customHeight="1" thickBot="1">
      <c r="A5" s="69"/>
      <c r="B5" s="69"/>
      <c r="C5" s="69"/>
      <c r="D5" s="69"/>
      <c r="E5" s="69"/>
      <c r="F5" s="69"/>
      <c r="G5" s="70"/>
      <c r="H5" s="69"/>
      <c r="I5" s="69"/>
      <c r="J5" s="54"/>
      <c r="K5" s="5" t="s">
        <v>7</v>
      </c>
      <c r="L5" s="13"/>
      <c r="M5" s="1"/>
      <c r="N5" s="54"/>
      <c r="O5" s="54"/>
      <c r="P5" s="54"/>
      <c r="Q5" s="54"/>
    </row>
    <row r="6" spans="1:25" s="10" customFormat="1" ht="33" customHeight="1" thickBot="1">
      <c r="A6" s="69"/>
      <c r="B6" s="69"/>
      <c r="C6" s="69"/>
      <c r="D6" s="69"/>
      <c r="E6" s="69"/>
      <c r="F6" s="69"/>
      <c r="G6" s="70"/>
      <c r="H6" s="69"/>
      <c r="I6" s="69"/>
      <c r="J6" s="54"/>
      <c r="K6" s="56" t="s">
        <v>8</v>
      </c>
      <c r="L6" s="11"/>
      <c r="M6" s="3"/>
      <c r="N6" s="54"/>
      <c r="O6" s="54"/>
      <c r="P6" s="54"/>
      <c r="Q6" s="54"/>
    </row>
    <row r="7" spans="1:25" s="10" customFormat="1" ht="33" customHeight="1" thickBot="1">
      <c r="A7" s="69"/>
      <c r="B7" s="69"/>
      <c r="C7" s="69"/>
      <c r="D7" s="69"/>
      <c r="E7" s="69"/>
      <c r="F7" s="69"/>
      <c r="G7" s="70"/>
      <c r="H7" s="69"/>
      <c r="I7" s="69"/>
      <c r="J7" s="54"/>
      <c r="K7" s="54"/>
      <c r="L7" s="54"/>
      <c r="M7" s="54"/>
      <c r="N7" s="54"/>
      <c r="O7" s="54"/>
      <c r="P7" s="54"/>
      <c r="Q7" s="54"/>
    </row>
    <row r="8" spans="1:25" s="10" customFormat="1" ht="33" customHeight="1" thickBot="1">
      <c r="A8" s="69"/>
      <c r="B8" s="69"/>
      <c r="C8" s="69"/>
      <c r="D8" s="69"/>
      <c r="E8" s="69"/>
      <c r="F8" s="69"/>
      <c r="G8" s="70"/>
      <c r="H8" s="69"/>
      <c r="I8" s="69"/>
      <c r="J8" s="54"/>
      <c r="K8" s="60" t="s">
        <v>5</v>
      </c>
      <c r="L8" s="61"/>
      <c r="M8" s="62"/>
      <c r="N8" s="54"/>
      <c r="O8" s="54"/>
      <c r="P8" s="54"/>
      <c r="Q8" s="54"/>
    </row>
    <row r="9" spans="1:25" s="10" customFormat="1" ht="33" customHeight="1" thickBot="1">
      <c r="A9" s="69"/>
      <c r="B9" s="69"/>
      <c r="C9" s="69"/>
      <c r="D9" s="69"/>
      <c r="E9" s="69"/>
      <c r="F9" s="69"/>
      <c r="G9" s="70"/>
      <c r="H9" s="69"/>
      <c r="I9" s="69"/>
      <c r="J9" s="54"/>
      <c r="K9" s="6" t="s">
        <v>3</v>
      </c>
      <c r="L9" s="13"/>
      <c r="M9" s="4"/>
      <c r="N9" s="54"/>
      <c r="O9" s="54"/>
      <c r="P9" s="54"/>
      <c r="Q9" s="54"/>
    </row>
    <row r="10" spans="1:25" s="10" customFormat="1" ht="33" customHeight="1" thickBot="1">
      <c r="A10" s="69"/>
      <c r="B10" s="69"/>
      <c r="C10" s="69"/>
      <c r="D10" s="69"/>
      <c r="E10" s="69"/>
      <c r="F10" s="69"/>
      <c r="G10" s="70"/>
      <c r="H10" s="69"/>
      <c r="I10" s="69"/>
      <c r="J10" s="54"/>
      <c r="K10" s="7" t="s">
        <v>4</v>
      </c>
      <c r="L10" s="11"/>
      <c r="M10" s="1"/>
      <c r="N10" s="54"/>
      <c r="O10" s="54"/>
      <c r="P10" s="54"/>
      <c r="Q10" s="54"/>
    </row>
    <row r="11" spans="1:25" s="10" customFormat="1" ht="33" customHeight="1" thickBot="1">
      <c r="A11" s="69"/>
      <c r="B11" s="69"/>
      <c r="C11" s="69"/>
      <c r="D11" s="69"/>
      <c r="E11" s="69"/>
      <c r="F11" s="69"/>
      <c r="G11" s="70"/>
      <c r="H11" s="69"/>
      <c r="I11" s="71"/>
      <c r="J11" s="54"/>
      <c r="K11" s="8" t="s">
        <v>9</v>
      </c>
      <c r="L11" s="14"/>
      <c r="M11" s="3"/>
      <c r="N11" s="54"/>
      <c r="O11" s="54"/>
      <c r="P11" s="54"/>
      <c r="Q11" s="54"/>
    </row>
    <row r="12" spans="1:25" ht="33" customHeight="1">
      <c r="A12" s="69"/>
      <c r="B12" s="69"/>
      <c r="C12" s="69"/>
      <c r="D12" s="69"/>
      <c r="E12" s="69"/>
      <c r="F12" s="69"/>
      <c r="G12" s="70"/>
      <c r="H12" s="69"/>
      <c r="I12" s="71"/>
      <c r="J12" s="55"/>
      <c r="K12" s="54"/>
      <c r="L12" s="54"/>
      <c r="M12" s="54"/>
      <c r="N12" s="55"/>
      <c r="O12" s="55"/>
      <c r="P12" s="55"/>
      <c r="Q12" s="55"/>
    </row>
    <row r="13" spans="1:25" ht="33" customHeight="1">
      <c r="A13" s="69"/>
      <c r="B13" s="69"/>
      <c r="C13" s="69"/>
      <c r="D13" s="69"/>
      <c r="E13" s="69"/>
      <c r="F13" s="69"/>
      <c r="G13" s="70"/>
      <c r="H13" s="69"/>
      <c r="I13" s="71"/>
      <c r="J13" s="55"/>
      <c r="K13" s="54"/>
      <c r="L13" s="54"/>
      <c r="M13" s="54"/>
      <c r="N13" s="55"/>
      <c r="O13" s="55"/>
      <c r="P13" s="55"/>
      <c r="Q13" s="55"/>
    </row>
    <row r="14" spans="1:25" ht="33" customHeight="1">
      <c r="A14" s="69"/>
      <c r="B14" s="69"/>
      <c r="C14" s="69"/>
      <c r="D14" s="69"/>
      <c r="E14" s="69"/>
      <c r="F14" s="69"/>
      <c r="G14" s="70"/>
      <c r="H14" s="69"/>
      <c r="I14" s="71"/>
      <c r="J14" s="55"/>
      <c r="K14" s="54"/>
      <c r="L14" s="54"/>
      <c r="M14" s="54"/>
      <c r="N14" s="55"/>
      <c r="O14" s="55"/>
      <c r="P14" s="55"/>
      <c r="Q14" s="55"/>
    </row>
    <row r="15" spans="1:25" ht="33" customHeight="1">
      <c r="A15" s="69"/>
      <c r="B15" s="69"/>
      <c r="C15" s="69"/>
      <c r="D15" s="69"/>
      <c r="E15" s="69"/>
      <c r="F15" s="69"/>
      <c r="G15" s="70"/>
      <c r="H15" s="69"/>
      <c r="I15" s="71"/>
      <c r="J15" s="55"/>
      <c r="K15" s="54"/>
      <c r="M15" s="59"/>
      <c r="N15" s="59"/>
      <c r="O15" s="59"/>
      <c r="P15" s="55"/>
      <c r="Q15" s="55"/>
    </row>
    <row r="16" spans="1:25" ht="33" customHeight="1">
      <c r="A16" s="69"/>
      <c r="B16" s="69"/>
      <c r="C16" s="69"/>
      <c r="D16" s="69"/>
      <c r="E16" s="69"/>
      <c r="F16" s="69"/>
      <c r="G16" s="70"/>
      <c r="H16" s="69"/>
      <c r="I16" s="71"/>
      <c r="J16" s="55"/>
      <c r="K16" s="54"/>
      <c r="L16" s="54"/>
      <c r="M16" s="54"/>
      <c r="N16" s="55"/>
      <c r="O16" s="55"/>
      <c r="P16" s="55"/>
      <c r="Q16" s="55"/>
      <c r="R16" s="55"/>
      <c r="S16" s="55"/>
      <c r="T16" s="55"/>
    </row>
    <row r="17" spans="1:19" ht="33" customHeight="1">
      <c r="A17" s="69"/>
      <c r="B17" s="69"/>
      <c r="C17" s="69"/>
      <c r="D17" s="69"/>
      <c r="E17" s="69"/>
      <c r="F17" s="69"/>
      <c r="G17" s="70"/>
      <c r="H17" s="69"/>
      <c r="I17" s="71"/>
      <c r="S17" s="33"/>
    </row>
    <row r="18" spans="1:19" ht="33" customHeight="1">
      <c r="A18" s="69"/>
      <c r="B18" s="69"/>
      <c r="C18" s="69"/>
      <c r="D18" s="69"/>
      <c r="E18" s="69"/>
      <c r="F18" s="69"/>
      <c r="G18" s="70"/>
      <c r="H18" s="69"/>
      <c r="I18" s="71"/>
      <c r="S18" s="33"/>
    </row>
    <row r="19" spans="1:19" ht="33" customHeight="1">
      <c r="A19" s="69"/>
      <c r="B19" s="69"/>
      <c r="C19" s="69"/>
      <c r="D19" s="69"/>
      <c r="E19" s="69"/>
      <c r="F19" s="69"/>
      <c r="G19" s="70"/>
      <c r="H19" s="69"/>
      <c r="I19" s="71"/>
      <c r="S19" s="33"/>
    </row>
    <row r="20" spans="1:19" ht="33" customHeight="1">
      <c r="A20" s="69"/>
      <c r="B20" s="69"/>
      <c r="C20" s="69"/>
      <c r="D20" s="69"/>
      <c r="E20" s="69"/>
      <c r="F20" s="69"/>
      <c r="G20" s="70"/>
      <c r="H20" s="69"/>
      <c r="I20" s="71"/>
      <c r="S20" s="33"/>
    </row>
    <row r="21" spans="1:19" ht="33" customHeight="1">
      <c r="A21" s="69"/>
      <c r="B21" s="69"/>
      <c r="C21" s="69"/>
      <c r="D21" s="69"/>
      <c r="E21" s="69"/>
      <c r="F21" s="69"/>
      <c r="G21" s="70"/>
      <c r="H21" s="69"/>
      <c r="I21" s="71"/>
      <c r="S21" s="33"/>
    </row>
    <row r="22" spans="1:19" ht="33" customHeight="1">
      <c r="A22" s="69"/>
      <c r="B22" s="69"/>
      <c r="C22" s="69"/>
      <c r="D22" s="69"/>
      <c r="E22" s="69"/>
      <c r="F22" s="69"/>
      <c r="G22" s="70"/>
      <c r="H22" s="69"/>
      <c r="I22" s="71"/>
      <c r="S22" s="33"/>
    </row>
    <row r="23" spans="1:19" ht="33" customHeight="1">
      <c r="A23" s="69"/>
      <c r="B23" s="69"/>
      <c r="C23" s="69"/>
      <c r="D23" s="69"/>
      <c r="E23" s="69"/>
      <c r="F23" s="69"/>
      <c r="G23" s="70"/>
      <c r="H23" s="69"/>
      <c r="I23" s="71"/>
      <c r="S23" s="33"/>
    </row>
    <row r="24" spans="1:19" ht="33" customHeight="1">
      <c r="A24" s="69"/>
      <c r="B24" s="69"/>
      <c r="C24" s="69"/>
      <c r="D24" s="69"/>
      <c r="E24" s="69"/>
      <c r="F24" s="69"/>
      <c r="G24" s="70"/>
      <c r="H24" s="69"/>
      <c r="I24" s="71"/>
      <c r="S24" s="33"/>
    </row>
    <row r="25" spans="1:19" ht="33" customHeight="1">
      <c r="A25" s="69"/>
      <c r="B25" s="69"/>
      <c r="C25" s="69"/>
      <c r="D25" s="69"/>
      <c r="E25" s="69"/>
      <c r="F25" s="69"/>
      <c r="G25" s="70"/>
      <c r="H25" s="69"/>
      <c r="I25" s="71"/>
      <c r="S25" s="33"/>
    </row>
    <row r="26" spans="1:19">
      <c r="S26" s="33"/>
    </row>
    <row r="27" spans="1:19">
      <c r="S27" s="33"/>
    </row>
    <row r="28" spans="1:19">
      <c r="K28" s="9"/>
      <c r="L28" s="9"/>
      <c r="M28" s="9"/>
    </row>
    <row r="29" spans="1:19">
      <c r="S29" s="33"/>
    </row>
    <row r="30" spans="1:19">
      <c r="S30" s="33"/>
    </row>
  </sheetData>
  <mergeCells count="2">
    <mergeCell ref="K2:M2"/>
    <mergeCell ref="K8:M8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P52"/>
  <sheetViews>
    <sheetView topLeftCell="Q13" workbookViewId="0">
      <selection activeCell="AE13" sqref="AE13"/>
    </sheetView>
  </sheetViews>
  <sheetFormatPr baseColWidth="10" defaultRowHeight="15"/>
  <cols>
    <col min="1" max="1" width="1.28515625" style="9" customWidth="1"/>
    <col min="2" max="4" width="15.5703125" style="10" customWidth="1"/>
    <col min="5" max="9" width="15.5703125" style="9" customWidth="1"/>
    <col min="10" max="14" width="15.7109375" style="9" customWidth="1"/>
    <col min="15" max="16384" width="11.42578125" style="9"/>
  </cols>
  <sheetData>
    <row r="1" spans="2:4" ht="15.75" thickBot="1"/>
    <row r="2" spans="2:4" ht="24.75" customHeight="1" thickBot="1">
      <c r="B2" s="63" t="s">
        <v>12</v>
      </c>
      <c r="C2" s="64"/>
      <c r="D2" s="65"/>
    </row>
    <row r="3" spans="2:4" ht="15.75" thickBot="1"/>
    <row r="4" spans="2:4" ht="33.75" customHeight="1" thickBot="1">
      <c r="B4" s="63" t="s">
        <v>47</v>
      </c>
      <c r="C4" s="64"/>
      <c r="D4" s="65"/>
    </row>
    <row r="5" spans="2:4" ht="33.75" customHeight="1" thickBot="1">
      <c r="B5" s="16" t="s">
        <v>10</v>
      </c>
      <c r="C5" s="21" t="e">
        <f>SUM(#REF!,'Inicial 5Años'!L3,#REF!,#REF!,#REF!,#REF!,#REF!,#REF!,#REF!,#REF!,#REF!,#REF!)</f>
        <v>#REF!</v>
      </c>
      <c r="D5" s="22" t="e">
        <f>((100*C5)/(SUM(C5:C8)))/100</f>
        <v>#REF!</v>
      </c>
    </row>
    <row r="6" spans="2:4" ht="33.75" customHeight="1" thickBot="1">
      <c r="B6" s="17" t="s">
        <v>6</v>
      </c>
      <c r="C6" s="23" t="e">
        <f>SUM(#REF!,'Inicial 5Años'!L4,#REF!,#REF!,#REF!,#REF!,#REF!,#REF!,#REF!,#REF!,#REF!,#REF!)</f>
        <v>#REF!</v>
      </c>
      <c r="D6" s="24" t="e">
        <f>((100*C6)/(SUM(C5:C8)))/100</f>
        <v>#REF!</v>
      </c>
    </row>
    <row r="7" spans="2:4" ht="33.75" customHeight="1" thickBot="1">
      <c r="B7" s="16" t="s">
        <v>7</v>
      </c>
      <c r="C7" s="25" t="e">
        <f>SUM(#REF!,'Inicial 5Años'!L5,#REF!,#REF!,#REF!,#REF!,#REF!,#REF!,#REF!,#REF!,#REF!,#REF!)</f>
        <v>#REF!</v>
      </c>
      <c r="D7" s="22" t="e">
        <f>((100*C7)/(SUM(C5:C8)))/100</f>
        <v>#REF!</v>
      </c>
    </row>
    <row r="8" spans="2:4" ht="33.75" customHeight="1" thickBot="1">
      <c r="B8" s="17" t="s">
        <v>8</v>
      </c>
      <c r="C8" s="23" t="e">
        <f>SUM(#REF!,'Inicial 5Años'!L6,#REF!,#REF!,#REF!,#REF!,#REF!,#REF!,#REF!,#REF!,#REF!,#REF!)</f>
        <v>#REF!</v>
      </c>
      <c r="D8" s="26" t="e">
        <f>((100*C8)/(SUM(C5:C8)))/100</f>
        <v>#REF!</v>
      </c>
    </row>
    <row r="9" spans="2:4" ht="14.25" customHeight="1" thickBot="1"/>
    <row r="10" spans="2:4" ht="33.75" customHeight="1" thickBot="1">
      <c r="B10" s="63" t="s">
        <v>48</v>
      </c>
      <c r="C10" s="64"/>
      <c r="D10" s="65"/>
    </row>
    <row r="11" spans="2:4" ht="33.75" customHeight="1" thickBot="1">
      <c r="B11" s="18" t="s">
        <v>3</v>
      </c>
      <c r="C11" s="25" t="e">
        <f>SUM(#REF!,'Inicial 5Años'!L9,#REF!,#REF!,#REF!,#REF!,#REF!,#REF!,#REF!,#REF!,#REF!,#REF!)</f>
        <v>#REF!</v>
      </c>
      <c r="D11" s="27" t="e">
        <f>((100*C11)/(SUM(C11:C13)))/100</f>
        <v>#REF!</v>
      </c>
    </row>
    <row r="12" spans="2:4" ht="33.75" customHeight="1" thickBot="1">
      <c r="B12" s="19" t="s">
        <v>4</v>
      </c>
      <c r="C12" s="23" t="e">
        <f>SUM(#REF!,'Inicial 5Años'!L10,#REF!,#REF!,#REF!,#REF!,#REF!,#REF!,#REF!,#REF!,#REF!,#REF!)</f>
        <v>#REF!</v>
      </c>
      <c r="D12" s="22" t="e">
        <f>((100*C12)/(SUM(C11:C13)))/100</f>
        <v>#REF!</v>
      </c>
    </row>
    <row r="13" spans="2:4" ht="33.75" customHeight="1" thickBot="1">
      <c r="B13" s="20" t="s">
        <v>9</v>
      </c>
      <c r="C13" s="28" t="e">
        <f>SUM(#REF!,'Inicial 5Años'!L11,#REF!,#REF!,#REF!,#REF!,#REF!,#REF!,#REF!,#REF!,#REF!,#REF!)</f>
        <v>#REF!</v>
      </c>
      <c r="D13" s="26" t="e">
        <f>((100*C13)/(SUM(C11:C13)))/100</f>
        <v>#REF!</v>
      </c>
    </row>
    <row r="14" spans="2:4" ht="15.75" thickBot="1"/>
    <row r="15" spans="2:4" ht="19.5" customHeight="1" thickBot="1">
      <c r="B15" s="63" t="s">
        <v>19</v>
      </c>
      <c r="C15" s="64"/>
      <c r="D15" s="65"/>
    </row>
    <row r="16" spans="2:4" ht="19.5" customHeight="1" thickBot="1">
      <c r="B16" s="5" t="s">
        <v>10</v>
      </c>
      <c r="C16" s="66" t="s">
        <v>20</v>
      </c>
      <c r="D16" s="67"/>
    </row>
    <row r="17" spans="2:16" ht="19.5" customHeight="1" thickBot="1">
      <c r="B17" s="29" t="s">
        <v>6</v>
      </c>
      <c r="C17" s="66" t="s">
        <v>21</v>
      </c>
      <c r="D17" s="67"/>
    </row>
    <row r="18" spans="2:16" ht="19.5" customHeight="1" thickBot="1">
      <c r="B18" s="5" t="s">
        <v>7</v>
      </c>
      <c r="C18" s="66" t="s">
        <v>22</v>
      </c>
      <c r="D18" s="67"/>
    </row>
    <row r="19" spans="2:16" ht="19.5" customHeight="1" thickBot="1">
      <c r="B19" s="29" t="s">
        <v>8</v>
      </c>
      <c r="C19" s="66" t="s">
        <v>23</v>
      </c>
      <c r="D19" s="67"/>
    </row>
    <row r="21" spans="2:16" ht="15.75" thickBot="1"/>
    <row r="22" spans="2:16" ht="30.75" customHeight="1" thickBot="1">
      <c r="B22" s="63" t="s">
        <v>36</v>
      </c>
      <c r="C22" s="64"/>
      <c r="D22" s="64"/>
      <c r="E22" s="64"/>
      <c r="F22" s="64"/>
      <c r="G22" s="63" t="s">
        <v>45</v>
      </c>
      <c r="H22" s="64"/>
      <c r="I22" s="64"/>
      <c r="J22" s="65"/>
      <c r="K22" s="63" t="s">
        <v>46</v>
      </c>
      <c r="L22" s="64"/>
      <c r="M22" s="64"/>
      <c r="N22" s="65"/>
    </row>
    <row r="23" spans="2:16" s="33" customFormat="1" ht="21.75" customHeight="1" thickBot="1">
      <c r="B23" s="7"/>
      <c r="C23" s="29" t="s">
        <v>10</v>
      </c>
      <c r="D23" s="7" t="s">
        <v>6</v>
      </c>
      <c r="E23" s="30" t="s">
        <v>7</v>
      </c>
      <c r="F23" s="7" t="s">
        <v>8</v>
      </c>
      <c r="G23" s="29" t="s">
        <v>38</v>
      </c>
      <c r="H23" s="7" t="s">
        <v>39</v>
      </c>
      <c r="I23" s="30" t="s">
        <v>40</v>
      </c>
      <c r="J23" s="7" t="s">
        <v>41</v>
      </c>
      <c r="K23" s="29" t="s">
        <v>38</v>
      </c>
      <c r="L23" s="7" t="s">
        <v>39</v>
      </c>
      <c r="M23" s="30" t="s">
        <v>40</v>
      </c>
      <c r="N23" s="7" t="s">
        <v>41</v>
      </c>
    </row>
    <row r="24" spans="2:16" ht="21" customHeight="1" thickBot="1">
      <c r="B24" s="6" t="s">
        <v>26</v>
      </c>
      <c r="C24" s="36" t="e">
        <f>#REF!</f>
        <v>#REF!</v>
      </c>
      <c r="D24" s="32" t="e">
        <f>#REF!</f>
        <v>#REF!</v>
      </c>
      <c r="E24" s="36" t="e">
        <f>#REF!</f>
        <v>#REF!</v>
      </c>
      <c r="F24" s="32" t="e">
        <f>#REF!</f>
        <v>#REF!</v>
      </c>
      <c r="G24" s="44" t="e">
        <f t="shared" ref="G24:G35" si="0">((100*C24)/(SUM(C24:F24)))/100</f>
        <v>#REF!</v>
      </c>
      <c r="H24" s="45" t="e">
        <f t="shared" ref="H24:H35" si="1">((100*D24)/(SUM(C24:F24)))/100</f>
        <v>#REF!</v>
      </c>
      <c r="I24" s="46" t="e">
        <f t="shared" ref="I24:I35" si="2">((100*E24)/(SUM(C24:F24)))/100</f>
        <v>#REF!</v>
      </c>
      <c r="J24" s="45" t="e">
        <f t="shared" ref="J24:J35" si="3">((100*F24)/(SUM(C24:F24)))/100</f>
        <v>#REF!</v>
      </c>
      <c r="K24" s="44" t="e">
        <f>((100*C24)/(SUM($C$24:$F$35)))/100</f>
        <v>#REF!</v>
      </c>
      <c r="L24" s="45" t="e">
        <f>((100*D24)/(SUM($C$24:$F$35)))/100</f>
        <v>#REF!</v>
      </c>
      <c r="M24" s="46" t="e">
        <f t="shared" ref="M24:N35" si="4">((100*E24)/(SUM($C$24:$F$35)))/100</f>
        <v>#REF!</v>
      </c>
      <c r="N24" s="45" t="e">
        <f t="shared" si="4"/>
        <v>#REF!</v>
      </c>
    </row>
    <row r="25" spans="2:16" ht="21" customHeight="1" thickBot="1">
      <c r="B25" s="7" t="s">
        <v>27</v>
      </c>
      <c r="C25" s="35" t="e">
        <f>#REF!</f>
        <v>#REF!</v>
      </c>
      <c r="D25" s="34" t="e">
        <f>#REF!</f>
        <v>#REF!</v>
      </c>
      <c r="E25" s="35" t="e">
        <f>#REF!</f>
        <v>#REF!</v>
      </c>
      <c r="F25" s="34" t="e">
        <f>#REF!</f>
        <v>#REF!</v>
      </c>
      <c r="G25" s="48" t="e">
        <f t="shared" si="0"/>
        <v>#REF!</v>
      </c>
      <c r="H25" s="43" t="e">
        <f t="shared" si="1"/>
        <v>#REF!</v>
      </c>
      <c r="I25" s="42" t="e">
        <f t="shared" si="2"/>
        <v>#REF!</v>
      </c>
      <c r="J25" s="43" t="e">
        <f t="shared" si="3"/>
        <v>#REF!</v>
      </c>
      <c r="K25" s="48" t="e">
        <f t="shared" ref="K25:L35" si="5">((100*C25)/(SUM($C$24:$F$35)))/100</f>
        <v>#REF!</v>
      </c>
      <c r="L25" s="43" t="e">
        <f t="shared" si="5"/>
        <v>#REF!</v>
      </c>
      <c r="M25" s="42" t="e">
        <f t="shared" si="4"/>
        <v>#REF!</v>
      </c>
      <c r="N25" s="43" t="e">
        <f t="shared" si="4"/>
        <v>#REF!</v>
      </c>
    </row>
    <row r="26" spans="2:16" ht="21" customHeight="1" thickBot="1">
      <c r="B26" s="37" t="s">
        <v>28</v>
      </c>
      <c r="C26" s="36" t="e">
        <f>#REF!</f>
        <v>#REF!</v>
      </c>
      <c r="D26" s="32" t="e">
        <f>#REF!</f>
        <v>#REF!</v>
      </c>
      <c r="E26" s="36" t="e">
        <f>#REF!</f>
        <v>#REF!</v>
      </c>
      <c r="F26" s="32" t="e">
        <f>#REF!</f>
        <v>#REF!</v>
      </c>
      <c r="G26" s="47" t="e">
        <f t="shared" si="0"/>
        <v>#REF!</v>
      </c>
      <c r="H26" s="41" t="e">
        <f t="shared" si="1"/>
        <v>#REF!</v>
      </c>
      <c r="I26" s="40" t="e">
        <f t="shared" si="2"/>
        <v>#REF!</v>
      </c>
      <c r="J26" s="41" t="e">
        <f t="shared" si="3"/>
        <v>#REF!</v>
      </c>
      <c r="K26" s="47" t="e">
        <f t="shared" si="5"/>
        <v>#REF!</v>
      </c>
      <c r="L26" s="41" t="e">
        <f t="shared" si="5"/>
        <v>#REF!</v>
      </c>
      <c r="M26" s="40" t="e">
        <f t="shared" si="4"/>
        <v>#REF!</v>
      </c>
      <c r="N26" s="41" t="e">
        <f t="shared" si="4"/>
        <v>#REF!</v>
      </c>
    </row>
    <row r="27" spans="2:16" ht="21" customHeight="1" thickBot="1">
      <c r="B27" s="7" t="s">
        <v>24</v>
      </c>
      <c r="C27" s="35" t="e">
        <f>#REF!</f>
        <v>#REF!</v>
      </c>
      <c r="D27" s="34" t="e">
        <f>#REF!</f>
        <v>#REF!</v>
      </c>
      <c r="E27" s="35" t="e">
        <f>#REF!</f>
        <v>#REF!</v>
      </c>
      <c r="F27" s="34" t="e">
        <f>#REF!</f>
        <v>#REF!</v>
      </c>
      <c r="G27" s="48" t="e">
        <f t="shared" si="0"/>
        <v>#REF!</v>
      </c>
      <c r="H27" s="43" t="e">
        <f t="shared" si="1"/>
        <v>#REF!</v>
      </c>
      <c r="I27" s="42" t="e">
        <f t="shared" si="2"/>
        <v>#REF!</v>
      </c>
      <c r="J27" s="43" t="e">
        <f t="shared" si="3"/>
        <v>#REF!</v>
      </c>
      <c r="K27" s="48" t="e">
        <f t="shared" si="5"/>
        <v>#REF!</v>
      </c>
      <c r="L27" s="43" t="e">
        <f t="shared" si="5"/>
        <v>#REF!</v>
      </c>
      <c r="M27" s="42" t="e">
        <f t="shared" si="4"/>
        <v>#REF!</v>
      </c>
      <c r="N27" s="43" t="e">
        <f t="shared" si="4"/>
        <v>#REF!</v>
      </c>
    </row>
    <row r="28" spans="2:16" ht="21" customHeight="1" thickBot="1">
      <c r="B28" s="37" t="s">
        <v>25</v>
      </c>
      <c r="C28" s="36">
        <f>'Inicial 5Años'!L3</f>
        <v>0</v>
      </c>
      <c r="D28" s="32">
        <f>'Inicial 5Años'!L4</f>
        <v>0</v>
      </c>
      <c r="E28" s="36">
        <f>'Inicial 5Años'!L5</f>
        <v>0</v>
      </c>
      <c r="F28" s="32">
        <f>'Inicial 5Años'!L6</f>
        <v>0</v>
      </c>
      <c r="G28" s="47" t="e">
        <f t="shared" si="0"/>
        <v>#DIV/0!</v>
      </c>
      <c r="H28" s="41" t="e">
        <f t="shared" si="1"/>
        <v>#DIV/0!</v>
      </c>
      <c r="I28" s="40" t="e">
        <f t="shared" si="2"/>
        <v>#DIV/0!</v>
      </c>
      <c r="J28" s="41" t="e">
        <f t="shared" si="3"/>
        <v>#DIV/0!</v>
      </c>
      <c r="K28" s="47" t="e">
        <f t="shared" si="5"/>
        <v>#REF!</v>
      </c>
      <c r="L28" s="41" t="e">
        <f t="shared" si="5"/>
        <v>#REF!</v>
      </c>
      <c r="M28" s="40" t="e">
        <f t="shared" si="4"/>
        <v>#REF!</v>
      </c>
      <c r="N28" s="41" t="e">
        <f t="shared" si="4"/>
        <v>#REF!</v>
      </c>
    </row>
    <row r="29" spans="2:16" ht="21" customHeight="1" thickBot="1">
      <c r="B29" s="7" t="s">
        <v>29</v>
      </c>
      <c r="C29" s="35" t="e">
        <f>#REF!</f>
        <v>#REF!</v>
      </c>
      <c r="D29" s="34" t="e">
        <f>#REF!</f>
        <v>#REF!</v>
      </c>
      <c r="E29" s="35" t="e">
        <f>#REF!</f>
        <v>#REF!</v>
      </c>
      <c r="F29" s="34" t="e">
        <f>#REF!</f>
        <v>#REF!</v>
      </c>
      <c r="G29" s="48" t="e">
        <f t="shared" si="0"/>
        <v>#REF!</v>
      </c>
      <c r="H29" s="43" t="e">
        <f t="shared" si="1"/>
        <v>#REF!</v>
      </c>
      <c r="I29" s="42" t="e">
        <f t="shared" si="2"/>
        <v>#REF!</v>
      </c>
      <c r="J29" s="43" t="e">
        <f t="shared" si="3"/>
        <v>#REF!</v>
      </c>
      <c r="K29" s="48" t="e">
        <f t="shared" si="5"/>
        <v>#REF!</v>
      </c>
      <c r="L29" s="43" t="e">
        <f t="shared" si="5"/>
        <v>#REF!</v>
      </c>
      <c r="M29" s="42" t="e">
        <f t="shared" si="4"/>
        <v>#REF!</v>
      </c>
      <c r="N29" s="43" t="e">
        <f t="shared" si="4"/>
        <v>#REF!</v>
      </c>
    </row>
    <row r="30" spans="2:16" ht="21" customHeight="1" thickBot="1">
      <c r="B30" s="37" t="s">
        <v>31</v>
      </c>
      <c r="C30" s="36" t="e">
        <f>#REF!</f>
        <v>#REF!</v>
      </c>
      <c r="D30" s="32" t="e">
        <f>#REF!</f>
        <v>#REF!</v>
      </c>
      <c r="E30" s="36" t="e">
        <f>#REF!</f>
        <v>#REF!</v>
      </c>
      <c r="F30" s="32" t="e">
        <f>#REF!</f>
        <v>#REF!</v>
      </c>
      <c r="G30" s="47" t="e">
        <f t="shared" si="0"/>
        <v>#REF!</v>
      </c>
      <c r="H30" s="41" t="e">
        <f t="shared" si="1"/>
        <v>#REF!</v>
      </c>
      <c r="I30" s="40" t="e">
        <f t="shared" si="2"/>
        <v>#REF!</v>
      </c>
      <c r="J30" s="41" t="e">
        <f t="shared" si="3"/>
        <v>#REF!</v>
      </c>
      <c r="K30" s="47" t="e">
        <f t="shared" si="5"/>
        <v>#REF!</v>
      </c>
      <c r="L30" s="41" t="e">
        <f t="shared" si="5"/>
        <v>#REF!</v>
      </c>
      <c r="M30" s="40" t="e">
        <f t="shared" si="4"/>
        <v>#REF!</v>
      </c>
      <c r="N30" s="41" t="e">
        <f t="shared" si="4"/>
        <v>#REF!</v>
      </c>
    </row>
    <row r="31" spans="2:16" ht="21" customHeight="1" thickBot="1">
      <c r="B31" s="7" t="s">
        <v>30</v>
      </c>
      <c r="C31" s="35" t="e">
        <f>#REF!</f>
        <v>#REF!</v>
      </c>
      <c r="D31" s="34" t="e">
        <f>#REF!</f>
        <v>#REF!</v>
      </c>
      <c r="E31" s="35" t="e">
        <f>#REF!</f>
        <v>#REF!</v>
      </c>
      <c r="F31" s="34" t="e">
        <f>#REF!</f>
        <v>#REF!</v>
      </c>
      <c r="G31" s="48" t="e">
        <f t="shared" si="0"/>
        <v>#REF!</v>
      </c>
      <c r="H31" s="43" t="e">
        <f t="shared" si="1"/>
        <v>#REF!</v>
      </c>
      <c r="I31" s="42" t="e">
        <f t="shared" si="2"/>
        <v>#REF!</v>
      </c>
      <c r="J31" s="43" t="e">
        <f t="shared" si="3"/>
        <v>#REF!</v>
      </c>
      <c r="K31" s="48" t="e">
        <f t="shared" si="5"/>
        <v>#REF!</v>
      </c>
      <c r="L31" s="43" t="e">
        <f t="shared" si="5"/>
        <v>#REF!</v>
      </c>
      <c r="M31" s="42" t="e">
        <f t="shared" si="4"/>
        <v>#REF!</v>
      </c>
      <c r="N31" s="43" t="e">
        <f t="shared" si="4"/>
        <v>#REF!</v>
      </c>
    </row>
    <row r="32" spans="2:16" ht="21" customHeight="1" thickBot="1">
      <c r="B32" s="37" t="s">
        <v>33</v>
      </c>
      <c r="C32" s="36" t="e">
        <f>#REF!</f>
        <v>#REF!</v>
      </c>
      <c r="D32" s="32" t="e">
        <f>#REF!</f>
        <v>#REF!</v>
      </c>
      <c r="E32" s="36" t="e">
        <f>#REF!</f>
        <v>#REF!</v>
      </c>
      <c r="F32" s="32" t="e">
        <f>#REF!</f>
        <v>#REF!</v>
      </c>
      <c r="G32" s="47" t="e">
        <f t="shared" si="0"/>
        <v>#REF!</v>
      </c>
      <c r="H32" s="41" t="e">
        <f t="shared" si="1"/>
        <v>#REF!</v>
      </c>
      <c r="I32" s="40" t="e">
        <f t="shared" si="2"/>
        <v>#REF!</v>
      </c>
      <c r="J32" s="41" t="e">
        <f t="shared" si="3"/>
        <v>#REF!</v>
      </c>
      <c r="K32" s="47" t="e">
        <f t="shared" si="5"/>
        <v>#REF!</v>
      </c>
      <c r="L32" s="41" t="e">
        <f t="shared" si="5"/>
        <v>#REF!</v>
      </c>
      <c r="M32" s="40" t="e">
        <f t="shared" si="4"/>
        <v>#REF!</v>
      </c>
      <c r="N32" s="41" t="e">
        <f t="shared" si="4"/>
        <v>#REF!</v>
      </c>
      <c r="P32" s="53"/>
    </row>
    <row r="33" spans="2:14" ht="21" customHeight="1" thickBot="1">
      <c r="B33" s="7" t="s">
        <v>34</v>
      </c>
      <c r="C33" s="35" t="e">
        <f>#REF!</f>
        <v>#REF!</v>
      </c>
      <c r="D33" s="34" t="e">
        <f>#REF!</f>
        <v>#REF!</v>
      </c>
      <c r="E33" s="35" t="e">
        <f>#REF!</f>
        <v>#REF!</v>
      </c>
      <c r="F33" s="34" t="e">
        <f>#REF!</f>
        <v>#REF!</v>
      </c>
      <c r="G33" s="48" t="e">
        <f t="shared" si="0"/>
        <v>#REF!</v>
      </c>
      <c r="H33" s="43" t="e">
        <f t="shared" si="1"/>
        <v>#REF!</v>
      </c>
      <c r="I33" s="42" t="e">
        <f t="shared" si="2"/>
        <v>#REF!</v>
      </c>
      <c r="J33" s="43" t="e">
        <f t="shared" si="3"/>
        <v>#REF!</v>
      </c>
      <c r="K33" s="48" t="e">
        <f t="shared" si="5"/>
        <v>#REF!</v>
      </c>
      <c r="L33" s="43" t="e">
        <f t="shared" si="5"/>
        <v>#REF!</v>
      </c>
      <c r="M33" s="42" t="e">
        <f t="shared" si="4"/>
        <v>#REF!</v>
      </c>
      <c r="N33" s="43" t="e">
        <f t="shared" si="4"/>
        <v>#REF!</v>
      </c>
    </row>
    <row r="34" spans="2:14" ht="21" customHeight="1" thickBot="1">
      <c r="B34" s="37" t="s">
        <v>35</v>
      </c>
      <c r="C34" s="36" t="e">
        <f>#REF!</f>
        <v>#REF!</v>
      </c>
      <c r="D34" s="32" t="e">
        <f>#REF!</f>
        <v>#REF!</v>
      </c>
      <c r="E34" s="36" t="e">
        <f>#REF!</f>
        <v>#REF!</v>
      </c>
      <c r="F34" s="32" t="e">
        <f>#REF!</f>
        <v>#REF!</v>
      </c>
      <c r="G34" s="47" t="e">
        <f t="shared" si="0"/>
        <v>#REF!</v>
      </c>
      <c r="H34" s="41" t="e">
        <f t="shared" si="1"/>
        <v>#REF!</v>
      </c>
      <c r="I34" s="40" t="e">
        <f t="shared" si="2"/>
        <v>#REF!</v>
      </c>
      <c r="J34" s="41" t="e">
        <f t="shared" si="3"/>
        <v>#REF!</v>
      </c>
      <c r="K34" s="47" t="e">
        <f t="shared" si="5"/>
        <v>#REF!</v>
      </c>
      <c r="L34" s="41" t="e">
        <f t="shared" si="5"/>
        <v>#REF!</v>
      </c>
      <c r="M34" s="40" t="e">
        <f t="shared" si="4"/>
        <v>#REF!</v>
      </c>
      <c r="N34" s="41" t="e">
        <f t="shared" si="4"/>
        <v>#REF!</v>
      </c>
    </row>
    <row r="35" spans="2:14" ht="21" customHeight="1" thickBot="1">
      <c r="B35" s="7" t="s">
        <v>32</v>
      </c>
      <c r="C35" s="35" t="e">
        <f>#REF!</f>
        <v>#REF!</v>
      </c>
      <c r="D35" s="34" t="e">
        <f>#REF!</f>
        <v>#REF!</v>
      </c>
      <c r="E35" s="35" t="e">
        <f>#REF!</f>
        <v>#REF!</v>
      </c>
      <c r="F35" s="34" t="e">
        <f>#REF!</f>
        <v>#REF!</v>
      </c>
      <c r="G35" s="48" t="e">
        <f t="shared" si="0"/>
        <v>#REF!</v>
      </c>
      <c r="H35" s="43" t="e">
        <f t="shared" si="1"/>
        <v>#REF!</v>
      </c>
      <c r="I35" s="42" t="e">
        <f t="shared" si="2"/>
        <v>#REF!</v>
      </c>
      <c r="J35" s="43" t="e">
        <f t="shared" si="3"/>
        <v>#REF!</v>
      </c>
      <c r="K35" s="48" t="e">
        <f t="shared" si="5"/>
        <v>#REF!</v>
      </c>
      <c r="L35" s="43" t="e">
        <f t="shared" si="5"/>
        <v>#REF!</v>
      </c>
      <c r="M35" s="42" t="e">
        <f t="shared" si="4"/>
        <v>#REF!</v>
      </c>
      <c r="N35" s="43" t="e">
        <f t="shared" si="4"/>
        <v>#REF!</v>
      </c>
    </row>
    <row r="37" spans="2:14" ht="15.75" thickBot="1"/>
    <row r="38" spans="2:14" ht="27" customHeight="1" thickBot="1">
      <c r="B38" s="63" t="s">
        <v>37</v>
      </c>
      <c r="C38" s="64"/>
      <c r="D38" s="64"/>
      <c r="E38" s="65"/>
      <c r="F38" s="63" t="s">
        <v>45</v>
      </c>
      <c r="G38" s="64"/>
      <c r="H38" s="65"/>
      <c r="I38" s="63" t="s">
        <v>46</v>
      </c>
      <c r="J38" s="64"/>
      <c r="K38" s="65"/>
    </row>
    <row r="39" spans="2:14" ht="21" customHeight="1" thickBot="1">
      <c r="B39" s="7"/>
      <c r="C39" s="29" t="s">
        <v>3</v>
      </c>
      <c r="D39" s="7" t="s">
        <v>4</v>
      </c>
      <c r="E39" s="38" t="s">
        <v>9</v>
      </c>
      <c r="F39" s="29" t="s">
        <v>42</v>
      </c>
      <c r="G39" s="7" t="s">
        <v>43</v>
      </c>
      <c r="H39" s="52" t="s">
        <v>44</v>
      </c>
      <c r="I39" s="29" t="s">
        <v>42</v>
      </c>
      <c r="J39" s="7" t="s">
        <v>43</v>
      </c>
      <c r="K39" s="52" t="s">
        <v>44</v>
      </c>
    </row>
    <row r="40" spans="2:14" ht="21" customHeight="1" thickBot="1">
      <c r="B40" s="6" t="s">
        <v>31</v>
      </c>
      <c r="C40" s="36" t="e">
        <f>#REF!</f>
        <v>#REF!</v>
      </c>
      <c r="D40" s="32" t="e">
        <f>#REF!</f>
        <v>#REF!</v>
      </c>
      <c r="E40" s="39" t="e">
        <f>#REF!</f>
        <v>#REF!</v>
      </c>
      <c r="F40" s="44" t="e">
        <f t="shared" ref="F40:F51" si="6">((100*C40)/(SUM(C40:E40)))/100</f>
        <v>#REF!</v>
      </c>
      <c r="G40" s="45" t="e">
        <f t="shared" ref="G40:G51" si="7">((100*D40)/(SUM(C40:E40)))/100</f>
        <v>#REF!</v>
      </c>
      <c r="H40" s="51" t="e">
        <f t="shared" ref="H40:H51" si="8">((100*E40)/(SUM(C40:E40)))/100</f>
        <v>#REF!</v>
      </c>
      <c r="I40" s="44" t="e">
        <f>((100*C40)/(SUM($C$40:$E$51)))/100</f>
        <v>#REF!</v>
      </c>
      <c r="J40" s="45" t="e">
        <f>((100*D40)/(SUM($C$40:$E$51)))/100</f>
        <v>#REF!</v>
      </c>
      <c r="K40" s="51" t="e">
        <f>((100*E40)/(SUM($C$40:$E$51)))/100</f>
        <v>#REF!</v>
      </c>
    </row>
    <row r="41" spans="2:14" ht="21" customHeight="1" thickBot="1">
      <c r="B41" s="7" t="s">
        <v>34</v>
      </c>
      <c r="C41" s="35" t="e">
        <f>#REF!</f>
        <v>#REF!</v>
      </c>
      <c r="D41" s="34" t="e">
        <f>#REF!</f>
        <v>#REF!</v>
      </c>
      <c r="E41" s="31" t="e">
        <f>#REF!</f>
        <v>#REF!</v>
      </c>
      <c r="F41" s="48" t="e">
        <f t="shared" si="6"/>
        <v>#REF!</v>
      </c>
      <c r="G41" s="43" t="e">
        <f t="shared" si="7"/>
        <v>#REF!</v>
      </c>
      <c r="H41" s="50" t="e">
        <f t="shared" si="8"/>
        <v>#REF!</v>
      </c>
      <c r="I41" s="48" t="e">
        <f>((100*C41)/(SUM($C$40:$E$51)))/100</f>
        <v>#REF!</v>
      </c>
      <c r="J41" s="43" t="e">
        <f t="shared" ref="J41:K51" si="9">((100*D41)/(SUM($C$40:$E$51)))/100</f>
        <v>#REF!</v>
      </c>
      <c r="K41" s="50" t="e">
        <f t="shared" si="9"/>
        <v>#REF!</v>
      </c>
    </row>
    <row r="42" spans="2:14" ht="21" customHeight="1" thickBot="1">
      <c r="B42" s="37" t="s">
        <v>33</v>
      </c>
      <c r="C42" s="36" t="e">
        <f>#REF!</f>
        <v>#REF!</v>
      </c>
      <c r="D42" s="32" t="e">
        <f>#REF!</f>
        <v>#REF!</v>
      </c>
      <c r="E42" s="39" t="e">
        <f>#REF!</f>
        <v>#REF!</v>
      </c>
      <c r="F42" s="47" t="e">
        <f t="shared" si="6"/>
        <v>#REF!</v>
      </c>
      <c r="G42" s="41" t="e">
        <f t="shared" si="7"/>
        <v>#REF!</v>
      </c>
      <c r="H42" s="49" t="e">
        <f t="shared" si="8"/>
        <v>#REF!</v>
      </c>
      <c r="I42" s="47" t="e">
        <f>((100*C42)/(SUM($C$40:$E$51)))/100</f>
        <v>#REF!</v>
      </c>
      <c r="J42" s="41" t="e">
        <f t="shared" si="9"/>
        <v>#REF!</v>
      </c>
      <c r="K42" s="49" t="e">
        <f t="shared" si="9"/>
        <v>#REF!</v>
      </c>
    </row>
    <row r="43" spans="2:14" ht="21" customHeight="1" thickBot="1">
      <c r="B43" s="7" t="s">
        <v>30</v>
      </c>
      <c r="C43" s="35" t="e">
        <f>#REF!</f>
        <v>#REF!</v>
      </c>
      <c r="D43" s="34" t="e">
        <f>#REF!</f>
        <v>#REF!</v>
      </c>
      <c r="E43" s="31" t="e">
        <f>#REF!</f>
        <v>#REF!</v>
      </c>
      <c r="F43" s="48" t="e">
        <f t="shared" si="6"/>
        <v>#REF!</v>
      </c>
      <c r="G43" s="43" t="e">
        <f t="shared" si="7"/>
        <v>#REF!</v>
      </c>
      <c r="H43" s="50" t="e">
        <f t="shared" si="8"/>
        <v>#REF!</v>
      </c>
      <c r="I43" s="48" t="e">
        <f t="shared" ref="I43:I51" si="10">((100*C43)/(SUM($C$40:$E$51)))/100</f>
        <v>#REF!</v>
      </c>
      <c r="J43" s="43" t="e">
        <f t="shared" si="9"/>
        <v>#REF!</v>
      </c>
      <c r="K43" s="50" t="e">
        <f t="shared" si="9"/>
        <v>#REF!</v>
      </c>
    </row>
    <row r="44" spans="2:14" ht="21" customHeight="1" thickBot="1">
      <c r="B44" s="37" t="s">
        <v>27</v>
      </c>
      <c r="C44" s="36" t="e">
        <f>#REF!</f>
        <v>#REF!</v>
      </c>
      <c r="D44" s="32" t="e">
        <f>#REF!</f>
        <v>#REF!</v>
      </c>
      <c r="E44" s="39" t="e">
        <f>#REF!</f>
        <v>#REF!</v>
      </c>
      <c r="F44" s="47" t="e">
        <f t="shared" si="6"/>
        <v>#REF!</v>
      </c>
      <c r="G44" s="41" t="e">
        <f t="shared" si="7"/>
        <v>#REF!</v>
      </c>
      <c r="H44" s="49" t="e">
        <f t="shared" si="8"/>
        <v>#REF!</v>
      </c>
      <c r="I44" s="47" t="e">
        <f t="shared" si="10"/>
        <v>#REF!</v>
      </c>
      <c r="J44" s="41" t="e">
        <f t="shared" si="9"/>
        <v>#REF!</v>
      </c>
      <c r="K44" s="49" t="e">
        <f t="shared" si="9"/>
        <v>#REF!</v>
      </c>
    </row>
    <row r="45" spans="2:14" ht="21" customHeight="1" thickBot="1">
      <c r="B45" s="7" t="s">
        <v>32</v>
      </c>
      <c r="C45" s="35" t="e">
        <f>#REF!</f>
        <v>#REF!</v>
      </c>
      <c r="D45" s="34" t="e">
        <f>#REF!</f>
        <v>#REF!</v>
      </c>
      <c r="E45" s="31" t="e">
        <f>#REF!</f>
        <v>#REF!</v>
      </c>
      <c r="F45" s="48" t="e">
        <f t="shared" si="6"/>
        <v>#REF!</v>
      </c>
      <c r="G45" s="43" t="e">
        <f t="shared" si="7"/>
        <v>#REF!</v>
      </c>
      <c r="H45" s="50" t="e">
        <f t="shared" si="8"/>
        <v>#REF!</v>
      </c>
      <c r="I45" s="48" t="e">
        <f t="shared" si="10"/>
        <v>#REF!</v>
      </c>
      <c r="J45" s="43" t="e">
        <f t="shared" si="9"/>
        <v>#REF!</v>
      </c>
      <c r="K45" s="50" t="e">
        <f t="shared" si="9"/>
        <v>#REF!</v>
      </c>
    </row>
    <row r="46" spans="2:14" ht="21" customHeight="1" thickBot="1">
      <c r="B46" s="37" t="s">
        <v>29</v>
      </c>
      <c r="C46" s="36" t="e">
        <f>#REF!</f>
        <v>#REF!</v>
      </c>
      <c r="D46" s="32" t="e">
        <f>#REF!</f>
        <v>#REF!</v>
      </c>
      <c r="E46" s="39" t="e">
        <f>#REF!</f>
        <v>#REF!</v>
      </c>
      <c r="F46" s="47" t="e">
        <f t="shared" si="6"/>
        <v>#REF!</v>
      </c>
      <c r="G46" s="41" t="e">
        <f t="shared" si="7"/>
        <v>#REF!</v>
      </c>
      <c r="H46" s="49" t="e">
        <f t="shared" si="8"/>
        <v>#REF!</v>
      </c>
      <c r="I46" s="47" t="e">
        <f t="shared" si="10"/>
        <v>#REF!</v>
      </c>
      <c r="J46" s="41" t="e">
        <f t="shared" si="9"/>
        <v>#REF!</v>
      </c>
      <c r="K46" s="49" t="e">
        <f t="shared" si="9"/>
        <v>#REF!</v>
      </c>
    </row>
    <row r="47" spans="2:14" ht="21" customHeight="1" thickBot="1">
      <c r="B47" s="7" t="s">
        <v>35</v>
      </c>
      <c r="C47" s="35" t="e">
        <f>#REF!</f>
        <v>#REF!</v>
      </c>
      <c r="D47" s="34" t="e">
        <f>#REF!</f>
        <v>#REF!</v>
      </c>
      <c r="E47" s="31" t="e">
        <f>#REF!</f>
        <v>#REF!</v>
      </c>
      <c r="F47" s="48" t="e">
        <f t="shared" si="6"/>
        <v>#REF!</v>
      </c>
      <c r="G47" s="43" t="e">
        <f t="shared" si="7"/>
        <v>#REF!</v>
      </c>
      <c r="H47" s="50" t="e">
        <f t="shared" si="8"/>
        <v>#REF!</v>
      </c>
      <c r="I47" s="48" t="e">
        <f t="shared" si="10"/>
        <v>#REF!</v>
      </c>
      <c r="J47" s="43" t="e">
        <f t="shared" si="9"/>
        <v>#REF!</v>
      </c>
      <c r="K47" s="50" t="e">
        <f t="shared" si="9"/>
        <v>#REF!</v>
      </c>
    </row>
    <row r="48" spans="2:14" ht="21" customHeight="1" thickBot="1">
      <c r="B48" s="37" t="s">
        <v>24</v>
      </c>
      <c r="C48" s="36" t="e">
        <f>#REF!</f>
        <v>#REF!</v>
      </c>
      <c r="D48" s="32" t="e">
        <f>#REF!</f>
        <v>#REF!</v>
      </c>
      <c r="E48" s="39" t="e">
        <f>#REF!</f>
        <v>#REF!</v>
      </c>
      <c r="F48" s="47" t="e">
        <f t="shared" si="6"/>
        <v>#REF!</v>
      </c>
      <c r="G48" s="41" t="e">
        <f t="shared" si="7"/>
        <v>#REF!</v>
      </c>
      <c r="H48" s="49" t="e">
        <f t="shared" si="8"/>
        <v>#REF!</v>
      </c>
      <c r="I48" s="47" t="e">
        <f t="shared" si="10"/>
        <v>#REF!</v>
      </c>
      <c r="J48" s="41" t="e">
        <f t="shared" si="9"/>
        <v>#REF!</v>
      </c>
      <c r="K48" s="49" t="e">
        <f t="shared" si="9"/>
        <v>#REF!</v>
      </c>
    </row>
    <row r="49" spans="2:11" ht="21" customHeight="1" thickBot="1">
      <c r="B49" s="7" t="s">
        <v>25</v>
      </c>
      <c r="C49" s="35">
        <f>'Inicial 5Años'!L9</f>
        <v>0</v>
      </c>
      <c r="D49" s="34">
        <f>'Inicial 5Años'!L10</f>
        <v>0</v>
      </c>
      <c r="E49" s="31">
        <f>'Inicial 5Años'!L11</f>
        <v>0</v>
      </c>
      <c r="F49" s="48" t="e">
        <f t="shared" si="6"/>
        <v>#DIV/0!</v>
      </c>
      <c r="G49" s="43" t="e">
        <f t="shared" si="7"/>
        <v>#DIV/0!</v>
      </c>
      <c r="H49" s="50" t="e">
        <f t="shared" si="8"/>
        <v>#DIV/0!</v>
      </c>
      <c r="I49" s="48" t="e">
        <f t="shared" si="10"/>
        <v>#REF!</v>
      </c>
      <c r="J49" s="43" t="e">
        <f t="shared" si="9"/>
        <v>#REF!</v>
      </c>
      <c r="K49" s="50" t="e">
        <f t="shared" si="9"/>
        <v>#REF!</v>
      </c>
    </row>
    <row r="50" spans="2:11" ht="21" customHeight="1" thickBot="1">
      <c r="B50" s="37" t="s">
        <v>26</v>
      </c>
      <c r="C50" s="36" t="e">
        <f>#REF!</f>
        <v>#REF!</v>
      </c>
      <c r="D50" s="32" t="e">
        <f>#REF!</f>
        <v>#REF!</v>
      </c>
      <c r="E50" s="39" t="e">
        <f>#REF!</f>
        <v>#REF!</v>
      </c>
      <c r="F50" s="47" t="e">
        <f t="shared" si="6"/>
        <v>#REF!</v>
      </c>
      <c r="G50" s="41" t="e">
        <f t="shared" si="7"/>
        <v>#REF!</v>
      </c>
      <c r="H50" s="49" t="e">
        <f t="shared" si="8"/>
        <v>#REF!</v>
      </c>
      <c r="I50" s="47" t="e">
        <f t="shared" si="10"/>
        <v>#REF!</v>
      </c>
      <c r="J50" s="41" t="e">
        <f t="shared" si="9"/>
        <v>#REF!</v>
      </c>
      <c r="K50" s="49" t="e">
        <f t="shared" si="9"/>
        <v>#REF!</v>
      </c>
    </row>
    <row r="51" spans="2:11" ht="21" customHeight="1" thickBot="1">
      <c r="B51" s="7" t="s">
        <v>28</v>
      </c>
      <c r="C51" s="35" t="e">
        <f>#REF!</f>
        <v>#REF!</v>
      </c>
      <c r="D51" s="34" t="e">
        <f>#REF!</f>
        <v>#REF!</v>
      </c>
      <c r="E51" s="31" t="e">
        <f>#REF!</f>
        <v>#REF!</v>
      </c>
      <c r="F51" s="48" t="e">
        <f t="shared" si="6"/>
        <v>#REF!</v>
      </c>
      <c r="G51" s="43" t="e">
        <f t="shared" si="7"/>
        <v>#REF!</v>
      </c>
      <c r="H51" s="50" t="e">
        <f t="shared" si="8"/>
        <v>#REF!</v>
      </c>
      <c r="I51" s="48" t="e">
        <f t="shared" si="10"/>
        <v>#REF!</v>
      </c>
      <c r="J51" s="43" t="e">
        <f t="shared" si="9"/>
        <v>#REF!</v>
      </c>
      <c r="K51" s="50" t="e">
        <f t="shared" si="9"/>
        <v>#REF!</v>
      </c>
    </row>
    <row r="52" spans="2:11">
      <c r="I52" s="53"/>
    </row>
  </sheetData>
  <sortState ref="B40:H51">
    <sortCondition descending="1" ref="H40:H51"/>
  </sortState>
  <mergeCells count="14">
    <mergeCell ref="B38:E38"/>
    <mergeCell ref="F38:H38"/>
    <mergeCell ref="I38:K38"/>
    <mergeCell ref="B2:D2"/>
    <mergeCell ref="B4:D4"/>
    <mergeCell ref="B10:D10"/>
    <mergeCell ref="B15:D15"/>
    <mergeCell ref="C16:D16"/>
    <mergeCell ref="C17:D17"/>
    <mergeCell ref="C18:D18"/>
    <mergeCell ref="C19:D19"/>
    <mergeCell ref="B22:F22"/>
    <mergeCell ref="G22:J22"/>
    <mergeCell ref="K22:N22"/>
  </mergeCells>
  <pageMargins left="0.31496062992125984" right="0.31496062992125984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Inicial 5Años</vt:lpstr>
      <vt:lpstr>BalanceGeneralOrdenado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Zarkiel</cp:lastModifiedBy>
  <cp:lastPrinted>2014-09-17T13:24:46Z</cp:lastPrinted>
  <dcterms:created xsi:type="dcterms:W3CDTF">2014-09-16T18:09:56Z</dcterms:created>
  <dcterms:modified xsi:type="dcterms:W3CDTF">2014-11-18T07:42:55Z</dcterms:modified>
</cp:coreProperties>
</file>
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480" windowWidth="11490" windowHeight="4170" tabRatio="632" firstSheet="2" activeTab="3"/>
  </bookViews>
  <sheets>
    <sheet name="REGISTROS" sheetId="3" state="hidden" r:id="rId1"/>
    <sheet name="PLANTILLA" sheetId="16" state="hidden" r:id="rId2"/>
    <sheet name="RESULTADOS" sheetId="8" r:id="rId3"/>
    <sheet name="20-10-14" sheetId="9" r:id="rId4"/>
  </sheets>
  <calcPr calcId="124519"/>
</workbook>
</file>

<file path=xl/calcChain.xml><?xml version="1.0" encoding="utf-8"?>
<calcChain xmlns="http://schemas.openxmlformats.org/spreadsheetml/2006/main">
  <c r="J26" i="16"/>
  <c r="H26"/>
  <c r="G26"/>
  <c r="I26" s="1"/>
  <c r="J25"/>
  <c r="H25"/>
  <c r="G25"/>
  <c r="I25" s="1"/>
  <c r="J24"/>
  <c r="H24"/>
  <c r="G24"/>
  <c r="I24" s="1"/>
  <c r="J23"/>
  <c r="H23"/>
  <c r="G23"/>
  <c r="I23" s="1"/>
  <c r="J22"/>
  <c r="H22"/>
  <c r="G22"/>
  <c r="I22" s="1"/>
  <c r="J21"/>
  <c r="H21"/>
  <c r="G21"/>
  <c r="I21" s="1"/>
  <c r="J20"/>
  <c r="H20"/>
  <c r="G20"/>
  <c r="J19"/>
  <c r="L19" s="1"/>
  <c r="G19"/>
  <c r="I19" s="1"/>
  <c r="J18"/>
  <c r="H18"/>
  <c r="G18"/>
  <c r="I18" s="1"/>
  <c r="J17"/>
  <c r="L17" s="1"/>
  <c r="G17"/>
  <c r="K17" s="1"/>
  <c r="J16"/>
  <c r="K16" s="1"/>
  <c r="J15"/>
  <c r="H15"/>
  <c r="G15"/>
  <c r="I15" s="1"/>
  <c r="J14"/>
  <c r="L14" s="1"/>
  <c r="G14"/>
  <c r="I14" s="1"/>
  <c r="J13"/>
  <c r="H13"/>
  <c r="G13"/>
  <c r="J12"/>
  <c r="H12"/>
  <c r="G12"/>
  <c r="K12" s="1"/>
  <c r="J11"/>
  <c r="G11"/>
  <c r="J10"/>
  <c r="L10" s="1"/>
  <c r="H10"/>
  <c r="G10"/>
  <c r="K10" s="1"/>
  <c r="M10" s="1"/>
  <c r="J9"/>
  <c r="L9" s="1"/>
  <c r="G9"/>
  <c r="I9" s="1"/>
  <c r="J8"/>
  <c r="H8"/>
  <c r="G8"/>
  <c r="J7"/>
  <c r="L7" s="1"/>
  <c r="H7"/>
  <c r="G7"/>
  <c r="K7" s="1"/>
  <c r="M7" s="1"/>
  <c r="J6"/>
  <c r="H6"/>
  <c r="G6"/>
  <c r="J5"/>
  <c r="L5" s="1"/>
  <c r="H5"/>
  <c r="G5"/>
  <c r="K5" s="1"/>
  <c r="M5" s="1"/>
  <c r="I20" l="1"/>
  <c r="M12"/>
  <c r="L12"/>
  <c r="K15"/>
  <c r="L18"/>
  <c r="L21"/>
  <c r="L23"/>
  <c r="L25"/>
  <c r="I6"/>
  <c r="L6"/>
  <c r="I8"/>
  <c r="L8"/>
  <c r="I11"/>
  <c r="L11"/>
  <c r="I13"/>
  <c r="L13"/>
  <c r="K20"/>
  <c r="K22"/>
  <c r="K24"/>
  <c r="K26"/>
  <c r="M17"/>
  <c r="K6"/>
  <c r="M6" s="1"/>
  <c r="K8"/>
  <c r="M8" s="1"/>
  <c r="K9"/>
  <c r="M9" s="1"/>
  <c r="K11"/>
  <c r="M11" s="1"/>
  <c r="K13"/>
  <c r="M13" s="1"/>
  <c r="K14"/>
  <c r="M14" s="1"/>
  <c r="L15"/>
  <c r="M15" s="1"/>
  <c r="L16"/>
  <c r="M16" s="1"/>
  <c r="K18"/>
  <c r="M18" s="1"/>
  <c r="K19"/>
  <c r="M19" s="1"/>
  <c r="L20"/>
  <c r="M20" s="1"/>
  <c r="K21"/>
  <c r="M21" s="1"/>
  <c r="L22"/>
  <c r="M22" s="1"/>
  <c r="K23"/>
  <c r="M23" s="1"/>
  <c r="L24"/>
  <c r="M24" s="1"/>
  <c r="K25"/>
  <c r="M25" s="1"/>
  <c r="L26"/>
  <c r="M26" s="1"/>
  <c r="I5"/>
  <c r="I7"/>
  <c r="I10"/>
  <c r="I12"/>
  <c r="I17"/>
</calcChain>
</file>

<file path=xl/sharedStrings.xml><?xml version="1.0" encoding="utf-8"?>
<sst xmlns="http://schemas.openxmlformats.org/spreadsheetml/2006/main" count="108" uniqueCount="47">
  <si>
    <t>HUARCA HINOSTROZA CESAR</t>
  </si>
  <si>
    <t>AVALO ROJAS ADÁN NICANOR</t>
  </si>
  <si>
    <t xml:space="preserve">BACA VIVANCO JULIO </t>
  </si>
  <si>
    <t>BONIFACIO SULCA ALEX</t>
  </si>
  <si>
    <t>BONIFACIO SULCA MILAGROS ANA</t>
  </si>
  <si>
    <t>CUADROS MENESES LUIS ALBERTO</t>
  </si>
  <si>
    <t>DAMINANI SANTA CRUZ CINTIA EDITH</t>
  </si>
  <si>
    <t>ESCALANTE BEROCAL KARINA ROSA</t>
  </si>
  <si>
    <t>LAGOS SANTOS PERLA</t>
  </si>
  <si>
    <t>LOZANO ALCALDE WALTER AUGUSTO</t>
  </si>
  <si>
    <t>MARAVI LAGOS ROSARIO</t>
  </si>
  <si>
    <t>MEDINA TATE CESAR RAFAEL</t>
  </si>
  <si>
    <t>TIMANA  ARROYO DORA MATILDA</t>
  </si>
  <si>
    <t>TIMANA ARROYO MARCELINA MARÍA</t>
  </si>
  <si>
    <t>TORRICO TORRES PELAYO</t>
  </si>
  <si>
    <t>VASQUEZ ARELLAN NANCY LISET</t>
  </si>
  <si>
    <t>VIVANCO MERA MANUEL</t>
  </si>
  <si>
    <t>YARLEQUE CASTRO ROSA MARÍA</t>
  </si>
  <si>
    <t>HUARANGA ALMEIDA LIZ ANABEL</t>
  </si>
  <si>
    <t>CUBAS GARCIA JESÚS WILSON</t>
  </si>
  <si>
    <t>N°</t>
  </si>
  <si>
    <t>NOMBRE TRABAJADOR</t>
  </si>
  <si>
    <t>ENTRADA</t>
  </si>
  <si>
    <t>SALIDA</t>
  </si>
  <si>
    <t>REAL</t>
  </si>
  <si>
    <t>PERMITIDO</t>
  </si>
  <si>
    <t>S/. * Min</t>
  </si>
  <si>
    <t>TOTAL</t>
  </si>
  <si>
    <t>Mie-Jue-Vie</t>
  </si>
  <si>
    <t>MINUTOS TARDE</t>
  </si>
  <si>
    <t>DESCUENTO S/.</t>
  </si>
  <si>
    <t>ENTRADAS Y SALDAS DEL PERSONAL VANGUARDSCHOOLS</t>
  </si>
  <si>
    <t>FIRMA</t>
  </si>
  <si>
    <t>H / ENTRADA</t>
  </si>
  <si>
    <t>H / SALIDA</t>
  </si>
  <si>
    <t xml:space="preserve">FECHA: </t>
  </si>
  <si>
    <t>TOTAL MIN</t>
  </si>
  <si>
    <t>TOTALES</t>
  </si>
  <si>
    <t>MINUTOS</t>
  </si>
  <si>
    <t>DESCUENTO</t>
  </si>
  <si>
    <t>MES OCTUBRE</t>
  </si>
  <si>
    <t>REGISTROS DE INGRESOS Y SALIDAS DEL PERSONAL</t>
  </si>
  <si>
    <t xml:space="preserve">UBILLUS INCA PAMELA </t>
  </si>
  <si>
    <t xml:space="preserve"> </t>
  </si>
  <si>
    <t>SIU RIVAS ANA LUISA</t>
  </si>
  <si>
    <t>MINUTOS Conv</t>
  </si>
  <si>
    <t>RESULTADOS FINALES - DESCUENTOS                           del 27/10/2014 al 31/10/2014</t>
  </si>
</sst>
</file>

<file path=xl/styles.xml><?xml version="1.0" encoding="utf-8"?>
<styleSheet xmlns="http://schemas.openxmlformats.org/spreadsheetml/2006/main">
  <numFmts count="2">
    <numFmt numFmtId="164" formatCode="&quot;S/.&quot;\ #,##0.00"/>
    <numFmt numFmtId="165" formatCode="[m]"/>
  </numFmts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0" xfId="0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20" fontId="0" fillId="0" borderId="22" xfId="0" applyNumberFormat="1" applyBorder="1" applyAlignment="1">
      <alignment horizontal="center" vertical="center"/>
    </xf>
    <xf numFmtId="20" fontId="0" fillId="0" borderId="6" xfId="0" applyNumberFormat="1" applyBorder="1" applyAlignment="1">
      <alignment horizontal="center" vertical="center"/>
    </xf>
    <xf numFmtId="20" fontId="0" fillId="0" borderId="27" xfId="0" applyNumberFormat="1" applyBorder="1" applyAlignment="1">
      <alignment horizontal="center" vertical="center"/>
    </xf>
    <xf numFmtId="20" fontId="0" fillId="0" borderId="23" xfId="0" applyNumberFormat="1" applyBorder="1" applyAlignment="1">
      <alignment horizontal="center" vertical="center"/>
    </xf>
    <xf numFmtId="20" fontId="0" fillId="0" borderId="7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4" xfId="0" applyNumberFormat="1" applyBorder="1" applyAlignment="1">
      <alignment horizontal="center" vertical="center"/>
    </xf>
    <xf numFmtId="20" fontId="0" fillId="0" borderId="8" xfId="0" applyNumberFormat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20" fontId="0" fillId="0" borderId="0" xfId="0" applyNumberFormat="1"/>
    <xf numFmtId="0" fontId="1" fillId="3" borderId="2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165" fontId="0" fillId="0" borderId="27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30" xfId="0" applyNumberFormat="1" applyBorder="1" applyAlignment="1">
      <alignment horizontal="center" vertical="center"/>
    </xf>
    <xf numFmtId="164" fontId="0" fillId="0" borderId="32" xfId="0" applyNumberFormat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1" fontId="0" fillId="0" borderId="0" xfId="0" applyNumberFormat="1"/>
    <xf numFmtId="164" fontId="0" fillId="0" borderId="27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" fillId="0" borderId="3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0" fillId="0" borderId="0" xfId="0" applyBorder="1"/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 wrapText="1"/>
    </xf>
    <xf numFmtId="20" fontId="0" fillId="0" borderId="0" xfId="0" applyNumberForma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20" fontId="0" fillId="0" borderId="0" xfId="0" applyNumberFormat="1" applyFill="1" applyBorder="1"/>
    <xf numFmtId="0" fontId="2" fillId="0" borderId="0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1" fillId="3" borderId="36" xfId="0" applyFont="1" applyFill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4" fontId="1" fillId="3" borderId="28" xfId="0" applyNumberFormat="1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5" fontId="0" fillId="2" borderId="6" xfId="0" applyNumberFormat="1" applyFill="1" applyBorder="1" applyAlignment="1">
      <alignment horizontal="center" vertical="center"/>
    </xf>
    <xf numFmtId="165" fontId="0" fillId="2" borderId="12" xfId="0" applyNumberFormat="1" applyFill="1" applyBorder="1" applyAlignment="1">
      <alignment horizontal="center" vertical="center"/>
    </xf>
    <xf numFmtId="165" fontId="0" fillId="2" borderId="35" xfId="0" applyNumberForma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4" fontId="6" fillId="0" borderId="1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4" fontId="6" fillId="0" borderId="0" xfId="0" applyNumberFormat="1" applyFont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14" fontId="1" fillId="3" borderId="21" xfId="0" applyNumberFormat="1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 wrapText="1"/>
    </xf>
    <xf numFmtId="14" fontId="8" fillId="3" borderId="37" xfId="0" applyNumberFormat="1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14" fontId="7" fillId="3" borderId="37" xfId="0" applyNumberFormat="1" applyFont="1" applyFill="1" applyBorder="1" applyAlignment="1">
      <alignment horizontal="center" vertical="center"/>
    </xf>
    <xf numFmtId="0" fontId="7" fillId="3" borderId="37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/>
    </xf>
    <xf numFmtId="164" fontId="1" fillId="3" borderId="3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14547</xdr:colOff>
      <xdr:row>0</xdr:row>
      <xdr:rowOff>47625</xdr:rowOff>
    </xdr:from>
    <xdr:to>
      <xdr:col>5</xdr:col>
      <xdr:colOff>817885</xdr:colOff>
      <xdr:row>2</xdr:row>
      <xdr:rowOff>104775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424622" y="47625"/>
          <a:ext cx="1765363" cy="438150"/>
        </a:xfrm>
        <a:prstGeom prst="rect">
          <a:avLst/>
        </a:prstGeom>
      </xdr:spPr>
    </xdr:pic>
    <xdr:clientData/>
  </xdr:twoCellAnchor>
  <xdr:twoCellAnchor editAs="oneCell">
    <xdr:from>
      <xdr:col>4</xdr:col>
      <xdr:colOff>14547</xdr:colOff>
      <xdr:row>34</xdr:row>
      <xdr:rowOff>47625</xdr:rowOff>
    </xdr:from>
    <xdr:to>
      <xdr:col>5</xdr:col>
      <xdr:colOff>817885</xdr:colOff>
      <xdr:row>36</xdr:row>
      <xdr:rowOff>66675</xdr:rowOff>
    </xdr:to>
    <xdr:pic>
      <xdr:nvPicPr>
        <xdr:cNvPr id="6" name="5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424622" y="47625"/>
          <a:ext cx="1765363" cy="438150"/>
        </a:xfrm>
        <a:prstGeom prst="rect">
          <a:avLst/>
        </a:prstGeom>
      </xdr:spPr>
    </xdr:pic>
    <xdr:clientData/>
  </xdr:twoCellAnchor>
  <xdr:twoCellAnchor editAs="oneCell">
    <xdr:from>
      <xdr:col>4</xdr:col>
      <xdr:colOff>14547</xdr:colOff>
      <xdr:row>68</xdr:row>
      <xdr:rowOff>47625</xdr:rowOff>
    </xdr:from>
    <xdr:to>
      <xdr:col>5</xdr:col>
      <xdr:colOff>817885</xdr:colOff>
      <xdr:row>70</xdr:row>
      <xdr:rowOff>104775</xdr:rowOff>
    </xdr:to>
    <xdr:pic>
      <xdr:nvPicPr>
        <xdr:cNvPr id="8" name="7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424622" y="47625"/>
          <a:ext cx="1765363" cy="43815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14547</xdr:colOff>
      <xdr:row>0</xdr:row>
      <xdr:rowOff>47625</xdr:rowOff>
    </xdr:from>
    <xdr:to>
      <xdr:col>11</xdr:col>
      <xdr:colOff>817885</xdr:colOff>
      <xdr:row>2</xdr:row>
      <xdr:rowOff>104775</xdr:rowOff>
    </xdr:to>
    <xdr:pic>
      <xdr:nvPicPr>
        <xdr:cNvPr id="9" name="8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424622" y="47625"/>
          <a:ext cx="1765363" cy="438150"/>
        </a:xfrm>
        <a:prstGeom prst="rect">
          <a:avLst/>
        </a:prstGeom>
      </xdr:spPr>
    </xdr:pic>
    <xdr:clientData/>
  </xdr:twoCellAnchor>
  <xdr:twoCellAnchor editAs="oneCell">
    <xdr:from>
      <xdr:col>10</xdr:col>
      <xdr:colOff>14547</xdr:colOff>
      <xdr:row>34</xdr:row>
      <xdr:rowOff>47625</xdr:rowOff>
    </xdr:from>
    <xdr:to>
      <xdr:col>11</xdr:col>
      <xdr:colOff>817885</xdr:colOff>
      <xdr:row>36</xdr:row>
      <xdr:rowOff>66675</xdr:rowOff>
    </xdr:to>
    <xdr:pic>
      <xdr:nvPicPr>
        <xdr:cNvPr id="10" name="9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4424622" y="9505950"/>
          <a:ext cx="1765363" cy="40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L102"/>
  <sheetViews>
    <sheetView workbookViewId="0">
      <selection activeCell="A5" sqref="A5:F5"/>
    </sheetView>
  </sheetViews>
  <sheetFormatPr baseColWidth="10" defaultRowHeight="15"/>
  <cols>
    <col min="1" max="1" width="5.140625" customWidth="1"/>
    <col min="2" max="2" width="32.42578125" customWidth="1"/>
    <col min="3" max="3" width="14.42578125" customWidth="1"/>
    <col min="4" max="4" width="14.140625" customWidth="1"/>
    <col min="5" max="5" width="14.42578125" customWidth="1"/>
    <col min="6" max="6" width="14.140625" customWidth="1"/>
    <col min="7" max="7" width="5.140625" customWidth="1"/>
    <col min="8" max="8" width="32.42578125" customWidth="1"/>
    <col min="9" max="9" width="14.42578125" customWidth="1"/>
    <col min="10" max="10" width="14.140625" customWidth="1"/>
    <col min="11" max="11" width="14.42578125" customWidth="1"/>
    <col min="12" max="12" width="14.140625" customWidth="1"/>
  </cols>
  <sheetData>
    <row r="4" spans="1:12" ht="8.25" customHeight="1"/>
    <row r="5" spans="1:12" ht="23.25">
      <c r="A5" s="84" t="s">
        <v>41</v>
      </c>
      <c r="B5" s="84"/>
      <c r="C5" s="84"/>
      <c r="D5" s="84"/>
      <c r="E5" s="84"/>
      <c r="F5" s="84"/>
      <c r="G5" s="84" t="s">
        <v>41</v>
      </c>
      <c r="H5" s="84"/>
      <c r="I5" s="84"/>
      <c r="J5" s="84"/>
      <c r="K5" s="84"/>
      <c r="L5" s="84"/>
    </row>
    <row r="6" spans="1:12" ht="12.75" customHeight="1"/>
    <row r="7" spans="1:12" ht="15.75" customHeight="1" thickBot="1">
      <c r="D7" s="55" t="s">
        <v>35</v>
      </c>
      <c r="E7" s="83">
        <v>41939</v>
      </c>
      <c r="F7" s="83"/>
      <c r="J7" s="55" t="s">
        <v>35</v>
      </c>
      <c r="K7" s="83">
        <v>41942</v>
      </c>
      <c r="L7" s="83"/>
    </row>
    <row r="8" spans="1:12" ht="15.75" thickBot="1"/>
    <row r="9" spans="1:12" ht="24" customHeight="1" thickBot="1">
      <c r="A9" s="47" t="s">
        <v>20</v>
      </c>
      <c r="B9" s="48" t="s">
        <v>21</v>
      </c>
      <c r="C9" s="49" t="s">
        <v>33</v>
      </c>
      <c r="D9" s="48" t="s">
        <v>32</v>
      </c>
      <c r="E9" s="49" t="s">
        <v>34</v>
      </c>
      <c r="F9" s="48" t="s">
        <v>32</v>
      </c>
      <c r="G9" s="47" t="s">
        <v>20</v>
      </c>
      <c r="H9" s="48" t="s">
        <v>21</v>
      </c>
      <c r="I9" s="49" t="s">
        <v>33</v>
      </c>
      <c r="J9" s="48" t="s">
        <v>32</v>
      </c>
      <c r="K9" s="49" t="s">
        <v>34</v>
      </c>
      <c r="L9" s="48" t="s">
        <v>32</v>
      </c>
    </row>
    <row r="10" spans="1:12" ht="24" customHeight="1" thickBot="1">
      <c r="A10" s="56">
        <v>1</v>
      </c>
      <c r="B10" s="52"/>
      <c r="C10" s="50"/>
      <c r="D10" s="52"/>
      <c r="E10" s="50"/>
      <c r="F10" s="52"/>
      <c r="G10" s="56">
        <v>1</v>
      </c>
      <c r="H10" s="52"/>
      <c r="I10" s="50"/>
      <c r="J10" s="52"/>
      <c r="K10" s="50"/>
      <c r="L10" s="52"/>
    </row>
    <row r="11" spans="1:12" ht="24" customHeight="1" thickBot="1">
      <c r="A11" s="47">
        <v>2</v>
      </c>
      <c r="B11" s="45"/>
      <c r="C11" s="46"/>
      <c r="D11" s="45"/>
      <c r="E11" s="46"/>
      <c r="F11" s="45"/>
      <c r="G11" s="47">
        <v>2</v>
      </c>
      <c r="H11" s="45"/>
      <c r="I11" s="46"/>
      <c r="J11" s="45"/>
      <c r="K11" s="46"/>
      <c r="L11" s="45"/>
    </row>
    <row r="12" spans="1:12" ht="24" customHeight="1" thickBot="1">
      <c r="A12" s="56">
        <v>3</v>
      </c>
      <c r="B12" s="53"/>
      <c r="C12" s="50"/>
      <c r="D12" s="53"/>
      <c r="E12" s="50"/>
      <c r="F12" s="53"/>
      <c r="G12" s="56">
        <v>3</v>
      </c>
      <c r="H12" s="53"/>
      <c r="I12" s="50"/>
      <c r="J12" s="53"/>
      <c r="K12" s="50"/>
      <c r="L12" s="53"/>
    </row>
    <row r="13" spans="1:12" ht="24" customHeight="1" thickBot="1">
      <c r="A13" s="47">
        <v>4</v>
      </c>
      <c r="B13" s="45"/>
      <c r="C13" s="46"/>
      <c r="D13" s="45"/>
      <c r="E13" s="46"/>
      <c r="F13" s="45"/>
      <c r="G13" s="47">
        <v>4</v>
      </c>
      <c r="H13" s="45"/>
      <c r="I13" s="46"/>
      <c r="J13" s="45"/>
      <c r="K13" s="46"/>
      <c r="L13" s="45"/>
    </row>
    <row r="14" spans="1:12" ht="24" customHeight="1" thickBot="1">
      <c r="A14" s="56">
        <v>5</v>
      </c>
      <c r="B14" s="53"/>
      <c r="C14" s="50"/>
      <c r="D14" s="53"/>
      <c r="E14" s="50"/>
      <c r="F14" s="53"/>
      <c r="G14" s="56">
        <v>5</v>
      </c>
      <c r="H14" s="53"/>
      <c r="I14" s="50"/>
      <c r="J14" s="53"/>
      <c r="K14" s="50"/>
      <c r="L14" s="53"/>
    </row>
    <row r="15" spans="1:12" ht="24" customHeight="1" thickBot="1">
      <c r="A15" s="47">
        <v>6</v>
      </c>
      <c r="B15" s="45"/>
      <c r="C15" s="46"/>
      <c r="D15" s="45"/>
      <c r="E15" s="46"/>
      <c r="F15" s="45"/>
      <c r="G15" s="47">
        <v>6</v>
      </c>
      <c r="H15" s="45"/>
      <c r="I15" s="46"/>
      <c r="J15" s="45"/>
      <c r="K15" s="46"/>
      <c r="L15" s="45"/>
    </row>
    <row r="16" spans="1:12" ht="24" customHeight="1" thickBot="1">
      <c r="A16" s="56">
        <v>7</v>
      </c>
      <c r="B16" s="53"/>
      <c r="C16" s="50"/>
      <c r="D16" s="53"/>
      <c r="E16" s="50"/>
      <c r="F16" s="53"/>
      <c r="G16" s="56">
        <v>7</v>
      </c>
      <c r="H16" s="53"/>
      <c r="I16" s="50"/>
      <c r="J16" s="53"/>
      <c r="K16" s="50"/>
      <c r="L16" s="53"/>
    </row>
    <row r="17" spans="1:12" ht="24" customHeight="1" thickBot="1">
      <c r="A17" s="47">
        <v>8</v>
      </c>
      <c r="B17" s="45"/>
      <c r="C17" s="46"/>
      <c r="D17" s="45"/>
      <c r="E17" s="46"/>
      <c r="F17" s="45"/>
      <c r="G17" s="47">
        <v>8</v>
      </c>
      <c r="H17" s="45"/>
      <c r="I17" s="46"/>
      <c r="J17" s="45"/>
      <c r="K17" s="46"/>
      <c r="L17" s="45"/>
    </row>
    <row r="18" spans="1:12" ht="24" customHeight="1" thickBot="1">
      <c r="A18" s="56">
        <v>9</v>
      </c>
      <c r="B18" s="53"/>
      <c r="C18" s="50"/>
      <c r="D18" s="53"/>
      <c r="E18" s="50"/>
      <c r="F18" s="53"/>
      <c r="G18" s="56">
        <v>9</v>
      </c>
      <c r="H18" s="53"/>
      <c r="I18" s="50"/>
      <c r="J18" s="53"/>
      <c r="K18" s="50"/>
      <c r="L18" s="53"/>
    </row>
    <row r="19" spans="1:12" ht="24" customHeight="1" thickBot="1">
      <c r="A19" s="47">
        <v>10</v>
      </c>
      <c r="B19" s="45"/>
      <c r="C19" s="46"/>
      <c r="D19" s="45"/>
      <c r="E19" s="46"/>
      <c r="F19" s="45"/>
      <c r="G19" s="47">
        <v>10</v>
      </c>
      <c r="H19" s="45"/>
      <c r="I19" s="46"/>
      <c r="J19" s="45"/>
      <c r="K19" s="46"/>
      <c r="L19" s="45"/>
    </row>
    <row r="20" spans="1:12" ht="24" customHeight="1" thickBot="1">
      <c r="A20" s="56">
        <v>11</v>
      </c>
      <c r="B20" s="53"/>
      <c r="C20" s="50"/>
      <c r="D20" s="53"/>
      <c r="E20" s="50"/>
      <c r="F20" s="53"/>
      <c r="G20" s="56">
        <v>11</v>
      </c>
      <c r="H20" s="53"/>
      <c r="I20" s="50"/>
      <c r="J20" s="53"/>
      <c r="K20" s="50"/>
      <c r="L20" s="53"/>
    </row>
    <row r="21" spans="1:12" ht="24" customHeight="1" thickBot="1">
      <c r="A21" s="47">
        <v>12</v>
      </c>
      <c r="B21" s="45"/>
      <c r="C21" s="46"/>
      <c r="D21" s="45"/>
      <c r="E21" s="46"/>
      <c r="F21" s="45"/>
      <c r="G21" s="47">
        <v>12</v>
      </c>
      <c r="H21" s="45"/>
      <c r="I21" s="46"/>
      <c r="J21" s="45"/>
      <c r="K21" s="46"/>
      <c r="L21" s="45"/>
    </row>
    <row r="22" spans="1:12" ht="24" customHeight="1" thickBot="1">
      <c r="A22" s="56">
        <v>13</v>
      </c>
      <c r="B22" s="53"/>
      <c r="C22" s="50"/>
      <c r="D22" s="53"/>
      <c r="E22" s="50"/>
      <c r="F22" s="53"/>
      <c r="G22" s="56">
        <v>13</v>
      </c>
      <c r="H22" s="53"/>
      <c r="I22" s="50"/>
      <c r="J22" s="53"/>
      <c r="K22" s="50"/>
      <c r="L22" s="53"/>
    </row>
    <row r="23" spans="1:12" ht="24" customHeight="1" thickBot="1">
      <c r="A23" s="47">
        <v>14</v>
      </c>
      <c r="B23" s="45"/>
      <c r="C23" s="46"/>
      <c r="D23" s="45"/>
      <c r="E23" s="46"/>
      <c r="F23" s="45"/>
      <c r="G23" s="47">
        <v>14</v>
      </c>
      <c r="H23" s="45"/>
      <c r="I23" s="46"/>
      <c r="J23" s="45"/>
      <c r="K23" s="46"/>
      <c r="L23" s="45"/>
    </row>
    <row r="24" spans="1:12" ht="24" customHeight="1" thickBot="1">
      <c r="A24" s="56">
        <v>15</v>
      </c>
      <c r="B24" s="53"/>
      <c r="C24" s="50"/>
      <c r="D24" s="53"/>
      <c r="E24" s="50"/>
      <c r="F24" s="53"/>
      <c r="G24" s="56">
        <v>15</v>
      </c>
      <c r="H24" s="53"/>
      <c r="I24" s="50"/>
      <c r="J24" s="53"/>
      <c r="K24" s="50"/>
      <c r="L24" s="53"/>
    </row>
    <row r="25" spans="1:12" ht="24" customHeight="1" thickBot="1">
      <c r="A25" s="47">
        <v>16</v>
      </c>
      <c r="B25" s="45"/>
      <c r="C25" s="46"/>
      <c r="D25" s="45"/>
      <c r="E25" s="46"/>
      <c r="F25" s="45"/>
      <c r="G25" s="47">
        <v>16</v>
      </c>
      <c r="H25" s="45"/>
      <c r="I25" s="46"/>
      <c r="J25" s="45"/>
      <c r="K25" s="46"/>
      <c r="L25" s="45"/>
    </row>
    <row r="26" spans="1:12" ht="24" customHeight="1" thickBot="1">
      <c r="A26" s="56">
        <v>17</v>
      </c>
      <c r="B26" s="53"/>
      <c r="C26" s="50"/>
      <c r="D26" s="53"/>
      <c r="E26" s="50"/>
      <c r="F26" s="53"/>
      <c r="G26" s="56">
        <v>17</v>
      </c>
      <c r="H26" s="53"/>
      <c r="I26" s="50"/>
      <c r="J26" s="53"/>
      <c r="K26" s="50"/>
      <c r="L26" s="53"/>
    </row>
    <row r="27" spans="1:12" ht="24" customHeight="1" thickBot="1">
      <c r="A27" s="47">
        <v>18</v>
      </c>
      <c r="B27" s="45"/>
      <c r="C27" s="46"/>
      <c r="D27" s="45"/>
      <c r="E27" s="46"/>
      <c r="F27" s="45"/>
      <c r="G27" s="47">
        <v>18</v>
      </c>
      <c r="H27" s="45"/>
      <c r="I27" s="46"/>
      <c r="J27" s="45"/>
      <c r="K27" s="46"/>
      <c r="L27" s="45"/>
    </row>
    <row r="28" spans="1:12" ht="24" customHeight="1" thickBot="1">
      <c r="A28" s="56">
        <v>19</v>
      </c>
      <c r="B28" s="53"/>
      <c r="C28" s="50"/>
      <c r="D28" s="53"/>
      <c r="E28" s="50"/>
      <c r="F28" s="53"/>
      <c r="G28" s="56">
        <v>19</v>
      </c>
      <c r="H28" s="53"/>
      <c r="I28" s="50"/>
      <c r="J28" s="53"/>
      <c r="K28" s="50"/>
      <c r="L28" s="53"/>
    </row>
    <row r="29" spans="1:12" ht="24" customHeight="1" thickBot="1">
      <c r="A29" s="47">
        <v>20</v>
      </c>
      <c r="B29" s="45"/>
      <c r="C29" s="46"/>
      <c r="D29" s="45"/>
      <c r="E29" s="46"/>
      <c r="F29" s="45"/>
      <c r="G29" s="47">
        <v>20</v>
      </c>
      <c r="H29" s="45"/>
      <c r="I29" s="46"/>
      <c r="J29" s="45"/>
      <c r="K29" s="46"/>
      <c r="L29" s="45"/>
    </row>
    <row r="30" spans="1:12" ht="24" customHeight="1" thickBot="1">
      <c r="A30" s="56">
        <v>21</v>
      </c>
      <c r="B30" s="53"/>
      <c r="C30" s="50"/>
      <c r="D30" s="53"/>
      <c r="E30" s="50"/>
      <c r="F30" s="53"/>
      <c r="G30" s="56">
        <v>21</v>
      </c>
      <c r="H30" s="53"/>
      <c r="I30" s="50"/>
      <c r="J30" s="53"/>
      <c r="K30" s="50"/>
      <c r="L30" s="53"/>
    </row>
    <row r="31" spans="1:12" ht="24" customHeight="1" thickBot="1">
      <c r="A31" s="47">
        <v>22</v>
      </c>
      <c r="B31" s="45"/>
      <c r="C31" s="46"/>
      <c r="D31" s="45"/>
      <c r="E31" s="46"/>
      <c r="F31" s="45"/>
      <c r="G31" s="47">
        <v>22</v>
      </c>
      <c r="H31" s="45"/>
      <c r="I31" s="46"/>
      <c r="J31" s="45"/>
      <c r="K31" s="46"/>
      <c r="L31" s="45"/>
    </row>
    <row r="32" spans="1:12" ht="24" customHeight="1" thickBot="1">
      <c r="A32" s="56">
        <v>23</v>
      </c>
      <c r="B32" s="53"/>
      <c r="C32" s="50"/>
      <c r="D32" s="53"/>
      <c r="E32" s="50"/>
      <c r="F32" s="53"/>
      <c r="G32" s="56">
        <v>23</v>
      </c>
      <c r="H32" s="53"/>
      <c r="I32" s="50"/>
      <c r="J32" s="53"/>
      <c r="K32" s="50"/>
      <c r="L32" s="53"/>
    </row>
    <row r="33" spans="1:12" ht="24" customHeight="1" thickBot="1">
      <c r="A33" s="47">
        <v>24</v>
      </c>
      <c r="B33" s="45"/>
      <c r="C33" s="46"/>
      <c r="D33" s="45"/>
      <c r="E33" s="46"/>
      <c r="F33" s="45"/>
      <c r="G33" s="47">
        <v>24</v>
      </c>
      <c r="H33" s="45"/>
      <c r="I33" s="46"/>
      <c r="J33" s="45"/>
      <c r="K33" s="46"/>
      <c r="L33" s="45"/>
    </row>
    <row r="34" spans="1:12" ht="24" customHeight="1" thickBot="1">
      <c r="A34" s="57">
        <v>25</v>
      </c>
      <c r="B34" s="54"/>
      <c r="C34" s="51"/>
      <c r="D34" s="54"/>
      <c r="E34" s="51"/>
      <c r="F34" s="54"/>
      <c r="G34" s="57">
        <v>25</v>
      </c>
      <c r="H34" s="54"/>
      <c r="I34" s="51"/>
      <c r="J34" s="54"/>
      <c r="K34" s="51"/>
      <c r="L34" s="54"/>
    </row>
    <row r="38" spans="1:12" ht="8.25" customHeight="1"/>
    <row r="39" spans="1:12" ht="23.25">
      <c r="A39" s="84" t="s">
        <v>41</v>
      </c>
      <c r="B39" s="84"/>
      <c r="C39" s="84"/>
      <c r="D39" s="84"/>
      <c r="E39" s="84"/>
      <c r="F39" s="84"/>
      <c r="G39" s="84" t="s">
        <v>41</v>
      </c>
      <c r="H39" s="84"/>
      <c r="I39" s="84"/>
      <c r="J39" s="84"/>
      <c r="K39" s="84"/>
      <c r="L39" s="84"/>
    </row>
    <row r="40" spans="1:12" ht="12.75" customHeight="1"/>
    <row r="41" spans="1:12" ht="15.75" customHeight="1" thickBot="1">
      <c r="D41" s="55" t="s">
        <v>35</v>
      </c>
      <c r="E41" s="83">
        <v>41940</v>
      </c>
      <c r="F41" s="83"/>
      <c r="J41" s="55" t="s">
        <v>35</v>
      </c>
      <c r="K41" s="83">
        <v>41943</v>
      </c>
      <c r="L41" s="83"/>
    </row>
    <row r="42" spans="1:12" ht="15.75" thickBot="1"/>
    <row r="43" spans="1:12" ht="24" customHeight="1" thickBot="1">
      <c r="A43" s="47" t="s">
        <v>20</v>
      </c>
      <c r="B43" s="48" t="s">
        <v>21</v>
      </c>
      <c r="C43" s="49" t="s">
        <v>33</v>
      </c>
      <c r="D43" s="48" t="s">
        <v>32</v>
      </c>
      <c r="E43" s="49" t="s">
        <v>34</v>
      </c>
      <c r="F43" s="48" t="s">
        <v>32</v>
      </c>
      <c r="G43" s="47" t="s">
        <v>20</v>
      </c>
      <c r="H43" s="48" t="s">
        <v>21</v>
      </c>
      <c r="I43" s="49" t="s">
        <v>33</v>
      </c>
      <c r="J43" s="48" t="s">
        <v>32</v>
      </c>
      <c r="K43" s="49" t="s">
        <v>34</v>
      </c>
      <c r="L43" s="48" t="s">
        <v>32</v>
      </c>
    </row>
    <row r="44" spans="1:12" ht="24" customHeight="1" thickBot="1">
      <c r="A44" s="56">
        <v>1</v>
      </c>
      <c r="B44" s="52"/>
      <c r="C44" s="50"/>
      <c r="D44" s="52"/>
      <c r="E44" s="50"/>
      <c r="F44" s="52"/>
      <c r="G44" s="56">
        <v>1</v>
      </c>
      <c r="H44" s="52"/>
      <c r="I44" s="50"/>
      <c r="J44" s="52"/>
      <c r="K44" s="50"/>
      <c r="L44" s="52"/>
    </row>
    <row r="45" spans="1:12" ht="24" customHeight="1" thickBot="1">
      <c r="A45" s="47">
        <v>2</v>
      </c>
      <c r="B45" s="45"/>
      <c r="C45" s="46"/>
      <c r="D45" s="45"/>
      <c r="E45" s="46"/>
      <c r="F45" s="45"/>
      <c r="G45" s="47">
        <v>2</v>
      </c>
      <c r="H45" s="45"/>
      <c r="I45" s="46"/>
      <c r="J45" s="45"/>
      <c r="K45" s="46"/>
      <c r="L45" s="45"/>
    </row>
    <row r="46" spans="1:12" ht="24" customHeight="1" thickBot="1">
      <c r="A46" s="56">
        <v>3</v>
      </c>
      <c r="B46" s="53"/>
      <c r="C46" s="50"/>
      <c r="D46" s="53"/>
      <c r="E46" s="50"/>
      <c r="F46" s="53"/>
      <c r="G46" s="56">
        <v>3</v>
      </c>
      <c r="H46" s="53"/>
      <c r="I46" s="50"/>
      <c r="J46" s="53"/>
      <c r="K46" s="50"/>
      <c r="L46" s="53"/>
    </row>
    <row r="47" spans="1:12" ht="24" customHeight="1" thickBot="1">
      <c r="A47" s="47">
        <v>4</v>
      </c>
      <c r="B47" s="45"/>
      <c r="C47" s="46"/>
      <c r="D47" s="45"/>
      <c r="E47" s="46"/>
      <c r="F47" s="45"/>
      <c r="G47" s="47">
        <v>4</v>
      </c>
      <c r="H47" s="45"/>
      <c r="I47" s="46"/>
      <c r="J47" s="45"/>
      <c r="K47" s="46"/>
      <c r="L47" s="45"/>
    </row>
    <row r="48" spans="1:12" ht="24" customHeight="1" thickBot="1">
      <c r="A48" s="56">
        <v>5</v>
      </c>
      <c r="B48" s="53"/>
      <c r="C48" s="50"/>
      <c r="D48" s="53"/>
      <c r="E48" s="50"/>
      <c r="F48" s="53"/>
      <c r="G48" s="56">
        <v>5</v>
      </c>
      <c r="H48" s="53"/>
      <c r="I48" s="50"/>
      <c r="J48" s="53"/>
      <c r="K48" s="50"/>
      <c r="L48" s="53"/>
    </row>
    <row r="49" spans="1:12" ht="24" customHeight="1" thickBot="1">
      <c r="A49" s="47">
        <v>6</v>
      </c>
      <c r="B49" s="45"/>
      <c r="C49" s="46"/>
      <c r="D49" s="45"/>
      <c r="E49" s="46"/>
      <c r="F49" s="45"/>
      <c r="G49" s="47">
        <v>6</v>
      </c>
      <c r="H49" s="45"/>
      <c r="I49" s="46"/>
      <c r="J49" s="45"/>
      <c r="K49" s="46"/>
      <c r="L49" s="45"/>
    </row>
    <row r="50" spans="1:12" ht="24" customHeight="1" thickBot="1">
      <c r="A50" s="56">
        <v>7</v>
      </c>
      <c r="B50" s="53"/>
      <c r="C50" s="50"/>
      <c r="D50" s="53"/>
      <c r="E50" s="50"/>
      <c r="F50" s="53"/>
      <c r="G50" s="56">
        <v>7</v>
      </c>
      <c r="H50" s="53"/>
      <c r="I50" s="50"/>
      <c r="J50" s="53"/>
      <c r="K50" s="50"/>
      <c r="L50" s="53"/>
    </row>
    <row r="51" spans="1:12" ht="24" customHeight="1" thickBot="1">
      <c r="A51" s="47">
        <v>8</v>
      </c>
      <c r="B51" s="45"/>
      <c r="C51" s="46"/>
      <c r="D51" s="45"/>
      <c r="E51" s="46"/>
      <c r="F51" s="45"/>
      <c r="G51" s="47">
        <v>8</v>
      </c>
      <c r="H51" s="45"/>
      <c r="I51" s="46"/>
      <c r="J51" s="45"/>
      <c r="K51" s="46"/>
      <c r="L51" s="45"/>
    </row>
    <row r="52" spans="1:12" ht="24" customHeight="1" thickBot="1">
      <c r="A52" s="56">
        <v>9</v>
      </c>
      <c r="B52" s="53"/>
      <c r="C52" s="50"/>
      <c r="D52" s="53"/>
      <c r="E52" s="50"/>
      <c r="F52" s="53"/>
      <c r="G52" s="56">
        <v>9</v>
      </c>
      <c r="H52" s="53"/>
      <c r="I52" s="50"/>
      <c r="J52" s="53"/>
      <c r="K52" s="50"/>
      <c r="L52" s="53"/>
    </row>
    <row r="53" spans="1:12" ht="24" customHeight="1" thickBot="1">
      <c r="A53" s="47">
        <v>10</v>
      </c>
      <c r="B53" s="45"/>
      <c r="C53" s="46"/>
      <c r="D53" s="45"/>
      <c r="E53" s="46"/>
      <c r="F53" s="45"/>
      <c r="G53" s="47">
        <v>10</v>
      </c>
      <c r="H53" s="45"/>
      <c r="I53" s="46"/>
      <c r="J53" s="45"/>
      <c r="K53" s="46"/>
      <c r="L53" s="45"/>
    </row>
    <row r="54" spans="1:12" ht="24" customHeight="1" thickBot="1">
      <c r="A54" s="56">
        <v>11</v>
      </c>
      <c r="B54" s="53"/>
      <c r="C54" s="50"/>
      <c r="D54" s="53"/>
      <c r="E54" s="50"/>
      <c r="F54" s="53"/>
      <c r="G54" s="56">
        <v>11</v>
      </c>
      <c r="H54" s="53"/>
      <c r="I54" s="50"/>
      <c r="J54" s="53"/>
      <c r="K54" s="50"/>
      <c r="L54" s="53"/>
    </row>
    <row r="55" spans="1:12" ht="24" customHeight="1" thickBot="1">
      <c r="A55" s="47">
        <v>12</v>
      </c>
      <c r="B55" s="45"/>
      <c r="C55" s="46"/>
      <c r="D55" s="45"/>
      <c r="E55" s="46"/>
      <c r="F55" s="45"/>
      <c r="G55" s="47">
        <v>12</v>
      </c>
      <c r="H55" s="45"/>
      <c r="I55" s="46"/>
      <c r="J55" s="45"/>
      <c r="K55" s="46"/>
      <c r="L55" s="45"/>
    </row>
    <row r="56" spans="1:12" ht="24" customHeight="1" thickBot="1">
      <c r="A56" s="56">
        <v>13</v>
      </c>
      <c r="B56" s="53"/>
      <c r="C56" s="50"/>
      <c r="D56" s="53"/>
      <c r="E56" s="50"/>
      <c r="F56" s="53"/>
      <c r="G56" s="56">
        <v>13</v>
      </c>
      <c r="H56" s="53"/>
      <c r="I56" s="50"/>
      <c r="J56" s="53"/>
      <c r="K56" s="50"/>
      <c r="L56" s="53"/>
    </row>
    <row r="57" spans="1:12" ht="24" customHeight="1" thickBot="1">
      <c r="A57" s="47">
        <v>14</v>
      </c>
      <c r="B57" s="45"/>
      <c r="C57" s="46"/>
      <c r="D57" s="45"/>
      <c r="E57" s="46"/>
      <c r="F57" s="45"/>
      <c r="G57" s="47">
        <v>14</v>
      </c>
      <c r="H57" s="45"/>
      <c r="I57" s="46"/>
      <c r="J57" s="45"/>
      <c r="K57" s="46"/>
      <c r="L57" s="45"/>
    </row>
    <row r="58" spans="1:12" ht="24" customHeight="1" thickBot="1">
      <c r="A58" s="56">
        <v>15</v>
      </c>
      <c r="B58" s="53"/>
      <c r="C58" s="50"/>
      <c r="D58" s="53"/>
      <c r="E58" s="50"/>
      <c r="F58" s="53"/>
      <c r="G58" s="56">
        <v>15</v>
      </c>
      <c r="H58" s="53"/>
      <c r="I58" s="50"/>
      <c r="J58" s="53"/>
      <c r="K58" s="50"/>
      <c r="L58" s="53"/>
    </row>
    <row r="59" spans="1:12" ht="24" customHeight="1" thickBot="1">
      <c r="A59" s="47">
        <v>16</v>
      </c>
      <c r="B59" s="45"/>
      <c r="C59" s="46"/>
      <c r="D59" s="45"/>
      <c r="E59" s="46"/>
      <c r="F59" s="45"/>
      <c r="G59" s="47">
        <v>16</v>
      </c>
      <c r="H59" s="45"/>
      <c r="I59" s="46"/>
      <c r="J59" s="45"/>
      <c r="K59" s="46"/>
      <c r="L59" s="45"/>
    </row>
    <row r="60" spans="1:12" ht="24" customHeight="1" thickBot="1">
      <c r="A60" s="56">
        <v>17</v>
      </c>
      <c r="B60" s="53"/>
      <c r="C60" s="50"/>
      <c r="D60" s="53"/>
      <c r="E60" s="50"/>
      <c r="F60" s="53"/>
      <c r="G60" s="56">
        <v>17</v>
      </c>
      <c r="H60" s="53"/>
      <c r="I60" s="50"/>
      <c r="J60" s="53"/>
      <c r="K60" s="50"/>
      <c r="L60" s="53"/>
    </row>
    <row r="61" spans="1:12" ht="24" customHeight="1" thickBot="1">
      <c r="A61" s="47">
        <v>18</v>
      </c>
      <c r="B61" s="45"/>
      <c r="C61" s="46"/>
      <c r="D61" s="45"/>
      <c r="E61" s="46"/>
      <c r="F61" s="45"/>
      <c r="G61" s="47">
        <v>18</v>
      </c>
      <c r="H61" s="45"/>
      <c r="I61" s="46"/>
      <c r="J61" s="45"/>
      <c r="K61" s="46"/>
      <c r="L61" s="45"/>
    </row>
    <row r="62" spans="1:12" ht="24" customHeight="1" thickBot="1">
      <c r="A62" s="56">
        <v>19</v>
      </c>
      <c r="B62" s="53"/>
      <c r="C62" s="50"/>
      <c r="D62" s="53"/>
      <c r="E62" s="50"/>
      <c r="F62" s="53"/>
      <c r="G62" s="56">
        <v>19</v>
      </c>
      <c r="H62" s="53"/>
      <c r="I62" s="50"/>
      <c r="J62" s="53"/>
      <c r="K62" s="50"/>
      <c r="L62" s="53"/>
    </row>
    <row r="63" spans="1:12" ht="24" customHeight="1" thickBot="1">
      <c r="A63" s="47">
        <v>20</v>
      </c>
      <c r="B63" s="45"/>
      <c r="C63" s="46"/>
      <c r="D63" s="45"/>
      <c r="E63" s="46"/>
      <c r="F63" s="45"/>
      <c r="G63" s="47">
        <v>20</v>
      </c>
      <c r="H63" s="45"/>
      <c r="I63" s="46"/>
      <c r="J63" s="45"/>
      <c r="K63" s="46"/>
      <c r="L63" s="45"/>
    </row>
    <row r="64" spans="1:12" ht="24" customHeight="1" thickBot="1">
      <c r="A64" s="56">
        <v>21</v>
      </c>
      <c r="B64" s="53"/>
      <c r="C64" s="50"/>
      <c r="D64" s="53"/>
      <c r="E64" s="50"/>
      <c r="F64" s="53"/>
      <c r="G64" s="56">
        <v>21</v>
      </c>
      <c r="H64" s="53"/>
      <c r="I64" s="50"/>
      <c r="J64" s="53"/>
      <c r="K64" s="50"/>
      <c r="L64" s="53"/>
    </row>
    <row r="65" spans="1:12" ht="24" customHeight="1" thickBot="1">
      <c r="A65" s="47">
        <v>22</v>
      </c>
      <c r="B65" s="45"/>
      <c r="C65" s="46"/>
      <c r="D65" s="45"/>
      <c r="E65" s="46"/>
      <c r="F65" s="45"/>
      <c r="G65" s="47">
        <v>22</v>
      </c>
      <c r="H65" s="45"/>
      <c r="I65" s="46"/>
      <c r="J65" s="45"/>
      <c r="K65" s="46"/>
      <c r="L65" s="45"/>
    </row>
    <row r="66" spans="1:12" ht="24" customHeight="1" thickBot="1">
      <c r="A66" s="56">
        <v>23</v>
      </c>
      <c r="B66" s="53"/>
      <c r="C66" s="50"/>
      <c r="D66" s="53"/>
      <c r="E66" s="50"/>
      <c r="F66" s="53"/>
      <c r="G66" s="56">
        <v>23</v>
      </c>
      <c r="H66" s="53"/>
      <c r="I66" s="50"/>
      <c r="J66" s="53"/>
      <c r="K66" s="50"/>
      <c r="L66" s="53"/>
    </row>
    <row r="67" spans="1:12" ht="24" customHeight="1" thickBot="1">
      <c r="A67" s="47">
        <v>24</v>
      </c>
      <c r="B67" s="45"/>
      <c r="C67" s="46"/>
      <c r="D67" s="45"/>
      <c r="E67" s="46"/>
      <c r="F67" s="45"/>
      <c r="G67" s="47">
        <v>24</v>
      </c>
      <c r="H67" s="45"/>
      <c r="I67" s="46"/>
      <c r="J67" s="45"/>
      <c r="K67" s="46"/>
      <c r="L67" s="45"/>
    </row>
    <row r="68" spans="1:12" ht="24" customHeight="1" thickBot="1">
      <c r="A68" s="57">
        <v>25</v>
      </c>
      <c r="B68" s="54"/>
      <c r="C68" s="51"/>
      <c r="D68" s="54"/>
      <c r="E68" s="51"/>
      <c r="F68" s="54"/>
      <c r="G68" s="47">
        <v>25</v>
      </c>
      <c r="H68" s="45"/>
      <c r="I68" s="46"/>
      <c r="J68" s="45"/>
      <c r="K68" s="46"/>
      <c r="L68" s="45"/>
    </row>
    <row r="69" spans="1:12">
      <c r="G69" s="58"/>
      <c r="H69" s="58"/>
      <c r="I69" s="58"/>
      <c r="J69" s="58"/>
      <c r="K69" s="58"/>
      <c r="L69" s="58"/>
    </row>
    <row r="70" spans="1:12">
      <c r="G70" s="58"/>
      <c r="H70" s="58"/>
      <c r="I70" s="58"/>
      <c r="J70" s="58"/>
      <c r="K70" s="58"/>
      <c r="L70" s="58"/>
    </row>
    <row r="71" spans="1:12">
      <c r="G71" s="58"/>
      <c r="H71" s="58"/>
      <c r="I71" s="58"/>
      <c r="J71" s="58"/>
      <c r="K71" s="58"/>
      <c r="L71" s="58"/>
    </row>
    <row r="72" spans="1:12" ht="8.25" customHeight="1">
      <c r="G72" s="58"/>
      <c r="H72" s="58"/>
      <c r="I72" s="58"/>
      <c r="J72" s="58"/>
      <c r="K72" s="58"/>
      <c r="L72" s="58"/>
    </row>
    <row r="73" spans="1:12" ht="23.25">
      <c r="A73" s="84" t="s">
        <v>41</v>
      </c>
      <c r="B73" s="84"/>
      <c r="C73" s="84"/>
      <c r="D73" s="84"/>
      <c r="E73" s="84"/>
      <c r="F73" s="84"/>
      <c r="G73" s="85"/>
      <c r="H73" s="85"/>
      <c r="I73" s="85"/>
      <c r="J73" s="85"/>
      <c r="K73" s="85"/>
      <c r="L73" s="85"/>
    </row>
    <row r="74" spans="1:12" ht="12.75" customHeight="1">
      <c r="G74" s="58"/>
      <c r="H74" s="58"/>
      <c r="I74" s="58"/>
      <c r="J74" s="58"/>
      <c r="K74" s="58"/>
      <c r="L74" s="58"/>
    </row>
    <row r="75" spans="1:12" ht="15.75" customHeight="1" thickBot="1">
      <c r="D75" s="55" t="s">
        <v>35</v>
      </c>
      <c r="E75" s="83">
        <v>41941</v>
      </c>
      <c r="F75" s="83"/>
      <c r="G75" s="58"/>
      <c r="H75" s="58"/>
      <c r="I75" s="58"/>
      <c r="J75" s="77"/>
      <c r="K75" s="86"/>
      <c r="L75" s="86"/>
    </row>
    <row r="76" spans="1:12" ht="15.75" thickBot="1">
      <c r="G76" s="58"/>
      <c r="H76" s="58"/>
      <c r="I76" s="58"/>
      <c r="J76" s="58"/>
      <c r="K76" s="58"/>
      <c r="L76" s="58"/>
    </row>
    <row r="77" spans="1:12" ht="24" customHeight="1" thickBot="1">
      <c r="A77" s="47" t="s">
        <v>20</v>
      </c>
      <c r="B77" s="48" t="s">
        <v>21</v>
      </c>
      <c r="C77" s="49" t="s">
        <v>33</v>
      </c>
      <c r="D77" s="48" t="s">
        <v>32</v>
      </c>
      <c r="E77" s="49" t="s">
        <v>34</v>
      </c>
      <c r="F77" s="48" t="s">
        <v>32</v>
      </c>
      <c r="G77" s="78"/>
      <c r="H77" s="78"/>
      <c r="I77" s="78"/>
      <c r="J77" s="78"/>
      <c r="K77" s="78"/>
      <c r="L77" s="78"/>
    </row>
    <row r="78" spans="1:12" ht="24" customHeight="1" thickBot="1">
      <c r="A78" s="56">
        <v>1</v>
      </c>
      <c r="B78" s="52"/>
      <c r="C78" s="50"/>
      <c r="D78" s="52"/>
      <c r="E78" s="50"/>
      <c r="F78" s="52"/>
      <c r="G78" s="78"/>
      <c r="H78" s="50"/>
      <c r="I78" s="50"/>
      <c r="J78" s="50"/>
      <c r="K78" s="50"/>
      <c r="L78" s="50"/>
    </row>
    <row r="79" spans="1:12" ht="24" customHeight="1" thickBot="1">
      <c r="A79" s="47">
        <v>2</v>
      </c>
      <c r="B79" s="45"/>
      <c r="C79" s="46"/>
      <c r="D79" s="45"/>
      <c r="E79" s="46"/>
      <c r="F79" s="45"/>
      <c r="G79" s="78"/>
      <c r="H79" s="50"/>
      <c r="I79" s="50"/>
      <c r="J79" s="50"/>
      <c r="K79" s="50"/>
      <c r="L79" s="50"/>
    </row>
    <row r="80" spans="1:12" ht="24" customHeight="1" thickBot="1">
      <c r="A80" s="56">
        <v>3</v>
      </c>
      <c r="B80" s="53"/>
      <c r="C80" s="50"/>
      <c r="D80" s="53"/>
      <c r="E80" s="50"/>
      <c r="F80" s="53"/>
      <c r="G80" s="78"/>
      <c r="H80" s="50"/>
      <c r="I80" s="50"/>
      <c r="J80" s="50"/>
      <c r="K80" s="50"/>
      <c r="L80" s="50"/>
    </row>
    <row r="81" spans="1:12" ht="24" customHeight="1" thickBot="1">
      <c r="A81" s="47">
        <v>4</v>
      </c>
      <c r="B81" s="45"/>
      <c r="C81" s="46"/>
      <c r="D81" s="45"/>
      <c r="E81" s="46"/>
      <c r="F81" s="45"/>
      <c r="G81" s="78"/>
      <c r="H81" s="50"/>
      <c r="I81" s="50"/>
      <c r="J81" s="50"/>
      <c r="K81" s="50"/>
      <c r="L81" s="50"/>
    </row>
    <row r="82" spans="1:12" ht="24" customHeight="1" thickBot="1">
      <c r="A82" s="56">
        <v>5</v>
      </c>
      <c r="B82" s="53"/>
      <c r="C82" s="50"/>
      <c r="D82" s="53"/>
      <c r="E82" s="50"/>
      <c r="F82" s="53"/>
      <c r="G82" s="78"/>
      <c r="H82" s="50"/>
      <c r="I82" s="50"/>
      <c r="J82" s="50"/>
      <c r="K82" s="50"/>
      <c r="L82" s="50"/>
    </row>
    <row r="83" spans="1:12" ht="24" customHeight="1" thickBot="1">
      <c r="A83" s="47">
        <v>6</v>
      </c>
      <c r="B83" s="45"/>
      <c r="C83" s="46"/>
      <c r="D83" s="45"/>
      <c r="E83" s="46"/>
      <c r="F83" s="45"/>
      <c r="G83" s="78"/>
      <c r="H83" s="50"/>
      <c r="I83" s="50"/>
      <c r="J83" s="50"/>
      <c r="K83" s="50"/>
      <c r="L83" s="50"/>
    </row>
    <row r="84" spans="1:12" ht="24" customHeight="1" thickBot="1">
      <c r="A84" s="56">
        <v>7</v>
      </c>
      <c r="B84" s="53"/>
      <c r="C84" s="50"/>
      <c r="D84" s="53"/>
      <c r="E84" s="50"/>
      <c r="F84" s="53"/>
      <c r="G84" s="78"/>
      <c r="H84" s="50"/>
      <c r="I84" s="50"/>
      <c r="J84" s="50"/>
      <c r="K84" s="50"/>
      <c r="L84" s="50"/>
    </row>
    <row r="85" spans="1:12" ht="24" customHeight="1" thickBot="1">
      <c r="A85" s="47">
        <v>8</v>
      </c>
      <c r="B85" s="45"/>
      <c r="C85" s="46"/>
      <c r="D85" s="45"/>
      <c r="E85" s="46"/>
      <c r="F85" s="45"/>
      <c r="G85" s="78"/>
      <c r="H85" s="50"/>
      <c r="I85" s="50"/>
      <c r="J85" s="50"/>
      <c r="K85" s="50"/>
      <c r="L85" s="50"/>
    </row>
    <row r="86" spans="1:12" ht="24" customHeight="1" thickBot="1">
      <c r="A86" s="56">
        <v>9</v>
      </c>
      <c r="B86" s="53"/>
      <c r="C86" s="50"/>
      <c r="D86" s="53"/>
      <c r="E86" s="50"/>
      <c r="F86" s="53"/>
      <c r="G86" s="78"/>
      <c r="H86" s="50"/>
      <c r="I86" s="50"/>
      <c r="J86" s="50"/>
      <c r="K86" s="50"/>
      <c r="L86" s="50"/>
    </row>
    <row r="87" spans="1:12" ht="24" customHeight="1" thickBot="1">
      <c r="A87" s="47">
        <v>10</v>
      </c>
      <c r="B87" s="45"/>
      <c r="C87" s="46"/>
      <c r="D87" s="45"/>
      <c r="E87" s="46"/>
      <c r="F87" s="45"/>
      <c r="G87" s="78"/>
      <c r="H87" s="50"/>
      <c r="I87" s="50"/>
      <c r="J87" s="50"/>
      <c r="K87" s="50"/>
      <c r="L87" s="50"/>
    </row>
    <row r="88" spans="1:12" ht="24" customHeight="1" thickBot="1">
      <c r="A88" s="56">
        <v>11</v>
      </c>
      <c r="B88" s="53"/>
      <c r="C88" s="50"/>
      <c r="D88" s="53"/>
      <c r="E88" s="50"/>
      <c r="F88" s="53"/>
      <c r="G88" s="78"/>
      <c r="H88" s="50"/>
      <c r="I88" s="50"/>
      <c r="J88" s="50"/>
      <c r="K88" s="50"/>
      <c r="L88" s="50"/>
    </row>
    <row r="89" spans="1:12" ht="24" customHeight="1" thickBot="1">
      <c r="A89" s="47">
        <v>12</v>
      </c>
      <c r="B89" s="45"/>
      <c r="C89" s="46"/>
      <c r="D89" s="45"/>
      <c r="E89" s="46"/>
      <c r="F89" s="45"/>
      <c r="G89" s="78"/>
      <c r="H89" s="50"/>
      <c r="I89" s="50"/>
      <c r="J89" s="50"/>
      <c r="K89" s="50"/>
      <c r="L89" s="50"/>
    </row>
    <row r="90" spans="1:12" ht="24" customHeight="1" thickBot="1">
      <c r="A90" s="56">
        <v>13</v>
      </c>
      <c r="B90" s="53"/>
      <c r="C90" s="50"/>
      <c r="D90" s="53"/>
      <c r="E90" s="50"/>
      <c r="F90" s="53"/>
      <c r="G90" s="78"/>
      <c r="H90" s="50"/>
      <c r="I90" s="50"/>
      <c r="J90" s="50"/>
      <c r="K90" s="50"/>
      <c r="L90" s="50"/>
    </row>
    <row r="91" spans="1:12" ht="24" customHeight="1" thickBot="1">
      <c r="A91" s="47">
        <v>14</v>
      </c>
      <c r="B91" s="45"/>
      <c r="C91" s="46"/>
      <c r="D91" s="45"/>
      <c r="E91" s="46"/>
      <c r="F91" s="45"/>
      <c r="G91" s="78"/>
      <c r="H91" s="50"/>
      <c r="I91" s="50"/>
      <c r="J91" s="50"/>
      <c r="K91" s="50"/>
      <c r="L91" s="50"/>
    </row>
    <row r="92" spans="1:12" ht="24" customHeight="1" thickBot="1">
      <c r="A92" s="56">
        <v>15</v>
      </c>
      <c r="B92" s="53"/>
      <c r="C92" s="50"/>
      <c r="D92" s="53"/>
      <c r="E92" s="50"/>
      <c r="F92" s="53"/>
      <c r="G92" s="78"/>
      <c r="H92" s="50"/>
      <c r="I92" s="50"/>
      <c r="J92" s="50"/>
      <c r="K92" s="50"/>
      <c r="L92" s="50"/>
    </row>
    <row r="93" spans="1:12" ht="24" customHeight="1" thickBot="1">
      <c r="A93" s="47">
        <v>16</v>
      </c>
      <c r="B93" s="45"/>
      <c r="C93" s="46"/>
      <c r="D93" s="45"/>
      <c r="E93" s="46"/>
      <c r="F93" s="45"/>
      <c r="G93" s="78"/>
      <c r="H93" s="50"/>
      <c r="I93" s="50"/>
      <c r="J93" s="50"/>
      <c r="K93" s="50"/>
      <c r="L93" s="50"/>
    </row>
    <row r="94" spans="1:12" ht="24" customHeight="1" thickBot="1">
      <c r="A94" s="56">
        <v>17</v>
      </c>
      <c r="B94" s="53"/>
      <c r="C94" s="50"/>
      <c r="D94" s="53"/>
      <c r="E94" s="50"/>
      <c r="F94" s="53"/>
      <c r="G94" s="78"/>
      <c r="H94" s="50"/>
      <c r="I94" s="50"/>
      <c r="J94" s="50"/>
      <c r="K94" s="50"/>
      <c r="L94" s="50"/>
    </row>
    <row r="95" spans="1:12" ht="24" customHeight="1" thickBot="1">
      <c r="A95" s="47">
        <v>18</v>
      </c>
      <c r="B95" s="45"/>
      <c r="C95" s="46"/>
      <c r="D95" s="45"/>
      <c r="E95" s="46"/>
      <c r="F95" s="45"/>
      <c r="G95" s="78"/>
      <c r="H95" s="50"/>
      <c r="I95" s="50"/>
      <c r="J95" s="50"/>
      <c r="K95" s="50"/>
      <c r="L95" s="50"/>
    </row>
    <row r="96" spans="1:12" ht="24" customHeight="1" thickBot="1">
      <c r="A96" s="56">
        <v>19</v>
      </c>
      <c r="B96" s="53"/>
      <c r="C96" s="50"/>
      <c r="D96" s="53"/>
      <c r="E96" s="50"/>
      <c r="F96" s="53"/>
      <c r="G96" s="78"/>
      <c r="H96" s="50"/>
      <c r="I96" s="50"/>
      <c r="J96" s="50"/>
      <c r="K96" s="50"/>
      <c r="L96" s="50"/>
    </row>
    <row r="97" spans="1:12" ht="24" customHeight="1" thickBot="1">
      <c r="A97" s="47">
        <v>20</v>
      </c>
      <c r="B97" s="45"/>
      <c r="C97" s="46"/>
      <c r="D97" s="45"/>
      <c r="E97" s="46"/>
      <c r="F97" s="45"/>
      <c r="G97" s="78"/>
      <c r="H97" s="50"/>
      <c r="I97" s="50"/>
      <c r="J97" s="50"/>
      <c r="K97" s="50"/>
      <c r="L97" s="50"/>
    </row>
    <row r="98" spans="1:12" ht="24" customHeight="1" thickBot="1">
      <c r="A98" s="56">
        <v>21</v>
      </c>
      <c r="B98" s="53"/>
      <c r="C98" s="50"/>
      <c r="D98" s="53"/>
      <c r="E98" s="50"/>
      <c r="F98" s="53"/>
      <c r="G98" s="78"/>
      <c r="H98" s="50"/>
      <c r="I98" s="50"/>
      <c r="J98" s="50"/>
      <c r="K98" s="50"/>
      <c r="L98" s="50"/>
    </row>
    <row r="99" spans="1:12" ht="24" customHeight="1" thickBot="1">
      <c r="A99" s="47">
        <v>22</v>
      </c>
      <c r="B99" s="45"/>
      <c r="C99" s="46"/>
      <c r="D99" s="45"/>
      <c r="E99" s="46"/>
      <c r="F99" s="45"/>
      <c r="G99" s="78"/>
      <c r="H99" s="50"/>
      <c r="I99" s="50"/>
      <c r="J99" s="50"/>
      <c r="K99" s="50"/>
      <c r="L99" s="50"/>
    </row>
    <row r="100" spans="1:12" ht="24" customHeight="1" thickBot="1">
      <c r="A100" s="56">
        <v>23</v>
      </c>
      <c r="B100" s="53"/>
      <c r="C100" s="50"/>
      <c r="D100" s="53"/>
      <c r="E100" s="50"/>
      <c r="F100" s="53"/>
      <c r="G100" s="78"/>
      <c r="H100" s="50"/>
      <c r="I100" s="50"/>
      <c r="J100" s="50"/>
      <c r="K100" s="50"/>
      <c r="L100" s="50"/>
    </row>
    <row r="101" spans="1:12" ht="24" customHeight="1" thickBot="1">
      <c r="A101" s="47">
        <v>24</v>
      </c>
      <c r="B101" s="45"/>
      <c r="C101" s="46"/>
      <c r="D101" s="45"/>
      <c r="E101" s="46"/>
      <c r="F101" s="45"/>
      <c r="G101" s="78"/>
      <c r="H101" s="50"/>
      <c r="I101" s="50"/>
      <c r="J101" s="50"/>
      <c r="K101" s="50"/>
      <c r="L101" s="50"/>
    </row>
    <row r="102" spans="1:12" ht="24" customHeight="1" thickBot="1">
      <c r="A102" s="57">
        <v>25</v>
      </c>
      <c r="B102" s="54"/>
      <c r="C102" s="51"/>
      <c r="D102" s="54"/>
      <c r="E102" s="51"/>
      <c r="F102" s="54"/>
      <c r="G102" s="78"/>
      <c r="H102" s="50"/>
      <c r="I102" s="50"/>
      <c r="J102" s="50"/>
      <c r="K102" s="50"/>
      <c r="L102" s="50"/>
    </row>
  </sheetData>
  <mergeCells count="12">
    <mergeCell ref="E75:F75"/>
    <mergeCell ref="G5:L5"/>
    <mergeCell ref="K7:L7"/>
    <mergeCell ref="G39:L39"/>
    <mergeCell ref="K41:L41"/>
    <mergeCell ref="G73:L73"/>
    <mergeCell ref="K75:L75"/>
    <mergeCell ref="A5:F5"/>
    <mergeCell ref="E7:F7"/>
    <mergeCell ref="A39:F39"/>
    <mergeCell ref="E41:F41"/>
    <mergeCell ref="A73:F73"/>
  </mergeCells>
  <printOptions horizontalCentered="1" verticalCentered="1"/>
  <pageMargins left="0.51181102362204722" right="0.51181102362204722" top="0.55118110236220474" bottom="0.39370078740157483" header="0.31496062992125984" footer="0.31496062992125984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6"/>
  <sheetViews>
    <sheetView topLeftCell="A10" zoomScale="85" zoomScaleNormal="85" workbookViewId="0">
      <selection activeCell="F21" sqref="F21"/>
    </sheetView>
  </sheetViews>
  <sheetFormatPr baseColWidth="10" defaultRowHeight="15"/>
  <cols>
    <col min="1" max="1" width="3.5703125" customWidth="1"/>
    <col min="2" max="2" width="37.85546875" customWidth="1"/>
    <col min="3" max="9" width="14" style="1" customWidth="1"/>
    <col min="10" max="13" width="14" customWidth="1"/>
    <col min="14" max="14" width="14.28515625" customWidth="1"/>
  </cols>
  <sheetData>
    <row r="1" spans="1:15" ht="23.25" customHeight="1">
      <c r="A1" s="87" t="s">
        <v>31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9"/>
    </row>
    <row r="2" spans="1:15" ht="24" customHeight="1" thickBot="1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2"/>
    </row>
    <row r="3" spans="1:15" ht="17.25" customHeight="1" thickBot="1">
      <c r="A3" s="93" t="s">
        <v>43</v>
      </c>
      <c r="B3" s="94"/>
      <c r="C3" s="95" t="s">
        <v>24</v>
      </c>
      <c r="D3" s="96"/>
      <c r="E3" s="97" t="s">
        <v>25</v>
      </c>
      <c r="F3" s="98"/>
      <c r="G3" s="99" t="s">
        <v>29</v>
      </c>
      <c r="H3" s="100"/>
      <c r="I3" s="101"/>
      <c r="J3" s="28" t="s">
        <v>26</v>
      </c>
      <c r="K3" s="102" t="s">
        <v>30</v>
      </c>
      <c r="L3" s="95"/>
      <c r="M3" s="103"/>
    </row>
    <row r="4" spans="1:15" ht="17.25" customHeight="1" thickBot="1">
      <c r="A4" s="4" t="s">
        <v>20</v>
      </c>
      <c r="B4" s="4" t="s">
        <v>21</v>
      </c>
      <c r="C4" s="5" t="s">
        <v>22</v>
      </c>
      <c r="D4" s="4" t="s">
        <v>23</v>
      </c>
      <c r="E4" s="75" t="s">
        <v>22</v>
      </c>
      <c r="F4" s="29" t="s">
        <v>23</v>
      </c>
      <c r="G4" s="75" t="s">
        <v>22</v>
      </c>
      <c r="H4" s="71" t="s">
        <v>23</v>
      </c>
      <c r="I4" s="29" t="s">
        <v>36</v>
      </c>
      <c r="J4" s="74">
        <v>0.5</v>
      </c>
      <c r="K4" s="37" t="s">
        <v>22</v>
      </c>
      <c r="L4" s="30" t="s">
        <v>23</v>
      </c>
      <c r="M4" s="76" t="s">
        <v>27</v>
      </c>
    </row>
    <row r="5" spans="1:15" ht="17.25" customHeight="1">
      <c r="A5" s="7">
        <v>1</v>
      </c>
      <c r="B5" s="8" t="s">
        <v>1</v>
      </c>
      <c r="C5" s="18"/>
      <c r="D5" s="19"/>
      <c r="E5" s="20">
        <v>0.31944444444444448</v>
      </c>
      <c r="F5" s="19">
        <v>0.625</v>
      </c>
      <c r="G5" s="33">
        <f t="shared" ref="G5:G15" si="0">IF(C5&gt;E5,C5-E5,0)</f>
        <v>0</v>
      </c>
      <c r="H5" s="33">
        <f>IF(F5&gt;D5,F5-D5,0)</f>
        <v>0.625</v>
      </c>
      <c r="I5" s="79">
        <f t="shared" ref="I5:I15" si="1">G5+H5</f>
        <v>0.625</v>
      </c>
      <c r="J5" s="36">
        <f>J4</f>
        <v>0.5</v>
      </c>
      <c r="K5" s="39">
        <f t="shared" ref="K5:K26" si="2">J5*(G5*1440)</f>
        <v>0</v>
      </c>
      <c r="L5" s="15">
        <f t="shared" ref="L5:L26" si="3">J5*(H5*1440)</f>
        <v>450</v>
      </c>
      <c r="M5" s="42">
        <f t="shared" ref="M5:M26" si="4">K5+L5</f>
        <v>450</v>
      </c>
    </row>
    <row r="6" spans="1:15" ht="17.25" customHeight="1">
      <c r="A6" s="9">
        <v>2</v>
      </c>
      <c r="B6" s="10" t="s">
        <v>2</v>
      </c>
      <c r="C6" s="21"/>
      <c r="D6" s="22"/>
      <c r="E6" s="23">
        <v>0.32291666666666669</v>
      </c>
      <c r="F6" s="22">
        <v>0.70833333333333337</v>
      </c>
      <c r="G6" s="34">
        <f t="shared" si="0"/>
        <v>0</v>
      </c>
      <c r="H6" s="72">
        <f>IF(F6&gt;D6,F6-D6,0)</f>
        <v>0.70833333333333337</v>
      </c>
      <c r="I6" s="80">
        <f t="shared" si="1"/>
        <v>0.70833333333333337</v>
      </c>
      <c r="J6" s="2">
        <f>J4</f>
        <v>0.5</v>
      </c>
      <c r="K6" s="40">
        <f t="shared" si="2"/>
        <v>0</v>
      </c>
      <c r="L6" s="16">
        <f t="shared" si="3"/>
        <v>510</v>
      </c>
      <c r="M6" s="43">
        <f t="shared" si="4"/>
        <v>510</v>
      </c>
    </row>
    <row r="7" spans="1:15" ht="17.25" customHeight="1">
      <c r="A7" s="9">
        <v>3</v>
      </c>
      <c r="B7" s="11" t="s">
        <v>3</v>
      </c>
      <c r="C7" s="21"/>
      <c r="D7" s="22"/>
      <c r="E7" s="23">
        <v>0.30555555555555552</v>
      </c>
      <c r="F7" s="22">
        <v>0.625</v>
      </c>
      <c r="G7" s="34">
        <f t="shared" si="0"/>
        <v>0</v>
      </c>
      <c r="H7" s="72">
        <f>IF(F7&gt;D7,F7-D7,0)</f>
        <v>0.625</v>
      </c>
      <c r="I7" s="80">
        <f t="shared" si="1"/>
        <v>0.625</v>
      </c>
      <c r="J7" s="2">
        <f>J4</f>
        <v>0.5</v>
      </c>
      <c r="K7" s="40">
        <f t="shared" si="2"/>
        <v>0</v>
      </c>
      <c r="L7" s="16">
        <f t="shared" si="3"/>
        <v>450</v>
      </c>
      <c r="M7" s="43">
        <f t="shared" si="4"/>
        <v>450</v>
      </c>
      <c r="N7" s="27"/>
      <c r="O7" s="38"/>
    </row>
    <row r="8" spans="1:15" ht="17.25" customHeight="1">
      <c r="A8" s="9">
        <v>4</v>
      </c>
      <c r="B8" s="11" t="s">
        <v>4</v>
      </c>
      <c r="C8" s="21"/>
      <c r="D8" s="22"/>
      <c r="E8" s="23">
        <v>0.30555555555555552</v>
      </c>
      <c r="F8" s="22">
        <v>0.625</v>
      </c>
      <c r="G8" s="34">
        <f t="shared" si="0"/>
        <v>0</v>
      </c>
      <c r="H8" s="72">
        <f>IF(F8&gt;D8,F8-D8,0)</f>
        <v>0.625</v>
      </c>
      <c r="I8" s="80">
        <f t="shared" si="1"/>
        <v>0.625</v>
      </c>
      <c r="J8" s="2">
        <f>J4</f>
        <v>0.5</v>
      </c>
      <c r="K8" s="40">
        <f t="shared" si="2"/>
        <v>0</v>
      </c>
      <c r="L8" s="16">
        <f t="shared" si="3"/>
        <v>450</v>
      </c>
      <c r="M8" s="43">
        <f t="shared" si="4"/>
        <v>450</v>
      </c>
      <c r="O8" s="38"/>
    </row>
    <row r="9" spans="1:15" ht="17.25" customHeight="1">
      <c r="A9" s="9">
        <v>5</v>
      </c>
      <c r="B9" s="32" t="s">
        <v>5</v>
      </c>
      <c r="C9" s="21"/>
      <c r="D9" s="22"/>
      <c r="E9" s="23">
        <v>0.30555555555555552</v>
      </c>
      <c r="F9" s="22">
        <v>0.41666666666666669</v>
      </c>
      <c r="G9" s="34">
        <f t="shared" si="0"/>
        <v>0</v>
      </c>
      <c r="H9" s="72">
        <v>0</v>
      </c>
      <c r="I9" s="80">
        <f t="shared" si="1"/>
        <v>0</v>
      </c>
      <c r="J9" s="2">
        <f>J4</f>
        <v>0.5</v>
      </c>
      <c r="K9" s="40">
        <f t="shared" si="2"/>
        <v>0</v>
      </c>
      <c r="L9" s="16">
        <f t="shared" si="3"/>
        <v>0</v>
      </c>
      <c r="M9" s="43">
        <f t="shared" si="4"/>
        <v>0</v>
      </c>
    </row>
    <row r="10" spans="1:15" ht="17.25" customHeight="1">
      <c r="A10" s="9">
        <v>6</v>
      </c>
      <c r="B10" s="11" t="s">
        <v>19</v>
      </c>
      <c r="C10" s="21"/>
      <c r="D10" s="22"/>
      <c r="E10" s="23">
        <v>0.31597222222222221</v>
      </c>
      <c r="F10" s="22">
        <v>0.625</v>
      </c>
      <c r="G10" s="34">
        <f t="shared" si="0"/>
        <v>0</v>
      </c>
      <c r="H10" s="72">
        <f>IF(F10&gt;D10,F10-D10,0)</f>
        <v>0.625</v>
      </c>
      <c r="I10" s="80">
        <f t="shared" si="1"/>
        <v>0.625</v>
      </c>
      <c r="J10" s="2">
        <f>J4</f>
        <v>0.5</v>
      </c>
      <c r="K10" s="40">
        <f t="shared" si="2"/>
        <v>0</v>
      </c>
      <c r="L10" s="16">
        <f t="shared" si="3"/>
        <v>450</v>
      </c>
      <c r="M10" s="43">
        <f t="shared" si="4"/>
        <v>450</v>
      </c>
    </row>
    <row r="11" spans="1:15" ht="17.25" customHeight="1">
      <c r="A11" s="9">
        <v>7</v>
      </c>
      <c r="B11" s="10" t="s">
        <v>6</v>
      </c>
      <c r="C11" s="21"/>
      <c r="D11" s="22"/>
      <c r="E11" s="23">
        <v>0.39930555555555558</v>
      </c>
      <c r="F11" s="22">
        <v>0.625</v>
      </c>
      <c r="G11" s="34">
        <f t="shared" si="0"/>
        <v>0</v>
      </c>
      <c r="H11" s="72">
        <v>0</v>
      </c>
      <c r="I11" s="80">
        <f t="shared" si="1"/>
        <v>0</v>
      </c>
      <c r="J11" s="2">
        <f>J4</f>
        <v>0.5</v>
      </c>
      <c r="K11" s="40">
        <f t="shared" si="2"/>
        <v>0</v>
      </c>
      <c r="L11" s="16">
        <f t="shared" si="3"/>
        <v>0</v>
      </c>
      <c r="M11" s="43">
        <f t="shared" si="4"/>
        <v>0</v>
      </c>
    </row>
    <row r="12" spans="1:15" ht="17.25" customHeight="1">
      <c r="A12" s="9">
        <v>8</v>
      </c>
      <c r="B12" s="10" t="s">
        <v>7</v>
      </c>
      <c r="C12" s="21"/>
      <c r="D12" s="22"/>
      <c r="E12" s="23">
        <v>0.33333333333333331</v>
      </c>
      <c r="F12" s="22">
        <v>0.625</v>
      </c>
      <c r="G12" s="34">
        <f t="shared" si="0"/>
        <v>0</v>
      </c>
      <c r="H12" s="72">
        <f>IF(F12&gt;D12,F12-D12,0)</f>
        <v>0.625</v>
      </c>
      <c r="I12" s="80">
        <f t="shared" si="1"/>
        <v>0.625</v>
      </c>
      <c r="J12" s="2">
        <f>J4</f>
        <v>0.5</v>
      </c>
      <c r="K12" s="40">
        <f t="shared" si="2"/>
        <v>0</v>
      </c>
      <c r="L12" s="16">
        <f t="shared" si="3"/>
        <v>450</v>
      </c>
      <c r="M12" s="43">
        <f t="shared" si="4"/>
        <v>450</v>
      </c>
    </row>
    <row r="13" spans="1:15" ht="17.25" customHeight="1">
      <c r="A13" s="9">
        <v>9</v>
      </c>
      <c r="B13" s="11" t="s">
        <v>18</v>
      </c>
      <c r="C13" s="21"/>
      <c r="D13" s="22"/>
      <c r="E13" s="23">
        <v>0.30555555555555552</v>
      </c>
      <c r="F13" s="22">
        <v>0.5625</v>
      </c>
      <c r="G13" s="34">
        <f t="shared" si="0"/>
        <v>0</v>
      </c>
      <c r="H13" s="72">
        <f>IF(F13&gt;D13,F13-D13,0)</f>
        <v>0.5625</v>
      </c>
      <c r="I13" s="80">
        <f t="shared" si="1"/>
        <v>0.5625</v>
      </c>
      <c r="J13" s="2">
        <f>J4</f>
        <v>0.5</v>
      </c>
      <c r="K13" s="40">
        <f t="shared" si="2"/>
        <v>0</v>
      </c>
      <c r="L13" s="16">
        <f t="shared" si="3"/>
        <v>405</v>
      </c>
      <c r="M13" s="43">
        <f t="shared" si="4"/>
        <v>405</v>
      </c>
    </row>
    <row r="14" spans="1:15" ht="17.25" customHeight="1">
      <c r="A14" s="9">
        <v>10</v>
      </c>
      <c r="B14" s="31" t="s">
        <v>0</v>
      </c>
      <c r="C14" s="21"/>
      <c r="D14" s="22"/>
      <c r="E14" s="23">
        <v>0.32291666666666669</v>
      </c>
      <c r="F14" s="22">
        <v>0.625</v>
      </c>
      <c r="G14" s="34">
        <f t="shared" si="0"/>
        <v>0</v>
      </c>
      <c r="H14" s="72">
        <v>0</v>
      </c>
      <c r="I14" s="80">
        <f t="shared" si="1"/>
        <v>0</v>
      </c>
      <c r="J14" s="2">
        <f>J4</f>
        <v>0.5</v>
      </c>
      <c r="K14" s="40">
        <f t="shared" si="2"/>
        <v>0</v>
      </c>
      <c r="L14" s="16">
        <f t="shared" si="3"/>
        <v>0</v>
      </c>
      <c r="M14" s="43">
        <f t="shared" si="4"/>
        <v>0</v>
      </c>
    </row>
    <row r="15" spans="1:15" ht="17.25" customHeight="1">
      <c r="A15" s="9">
        <v>11</v>
      </c>
      <c r="B15" s="12" t="s">
        <v>8</v>
      </c>
      <c r="C15" s="21"/>
      <c r="D15" s="22"/>
      <c r="E15" s="23">
        <v>0.31597222222222221</v>
      </c>
      <c r="F15" s="22">
        <v>0.625</v>
      </c>
      <c r="G15" s="34">
        <f t="shared" si="0"/>
        <v>0</v>
      </c>
      <c r="H15" s="72">
        <f>IF(F15&gt;D15,F15-D15,0)</f>
        <v>0.625</v>
      </c>
      <c r="I15" s="80">
        <f t="shared" si="1"/>
        <v>0.625</v>
      </c>
      <c r="J15" s="2">
        <f>J4</f>
        <v>0.5</v>
      </c>
      <c r="K15" s="40">
        <f t="shared" si="2"/>
        <v>0</v>
      </c>
      <c r="L15" s="16">
        <f t="shared" si="3"/>
        <v>450</v>
      </c>
      <c r="M15" s="43">
        <f t="shared" si="4"/>
        <v>450</v>
      </c>
    </row>
    <row r="16" spans="1:15" ht="17.25" customHeight="1">
      <c r="A16" s="9">
        <v>12</v>
      </c>
      <c r="B16" s="10" t="s">
        <v>9</v>
      </c>
      <c r="C16" s="21"/>
      <c r="D16" s="22"/>
      <c r="E16" s="23">
        <v>0.31597222222222221</v>
      </c>
      <c r="F16" s="22">
        <v>0.625</v>
      </c>
      <c r="G16" s="34">
        <v>0</v>
      </c>
      <c r="H16" s="72">
        <v>0</v>
      </c>
      <c r="I16" s="80">
        <v>0</v>
      </c>
      <c r="J16" s="2">
        <f>J4</f>
        <v>0.5</v>
      </c>
      <c r="K16" s="40">
        <f t="shared" si="2"/>
        <v>0</v>
      </c>
      <c r="L16" s="16">
        <f t="shared" si="3"/>
        <v>0</v>
      </c>
      <c r="M16" s="43">
        <f t="shared" si="4"/>
        <v>0</v>
      </c>
    </row>
    <row r="17" spans="1:14" ht="17.25" customHeight="1" thickBot="1">
      <c r="A17" s="9">
        <v>13</v>
      </c>
      <c r="B17" s="10" t="s">
        <v>10</v>
      </c>
      <c r="C17" s="21"/>
      <c r="D17" s="22"/>
      <c r="E17" s="23">
        <v>0.31597222222222221</v>
      </c>
      <c r="F17" s="22">
        <v>0.625</v>
      </c>
      <c r="G17" s="34">
        <f t="shared" ref="G17:G26" si="5">IF(C17&gt;E17,C17-E17,0)</f>
        <v>0</v>
      </c>
      <c r="H17" s="72">
        <v>0</v>
      </c>
      <c r="I17" s="80">
        <f t="shared" ref="I17:I26" si="6">G17+H17</f>
        <v>0</v>
      </c>
      <c r="J17" s="2">
        <f>J4</f>
        <v>0.5</v>
      </c>
      <c r="K17" s="40">
        <f t="shared" si="2"/>
        <v>0</v>
      </c>
      <c r="L17" s="16">
        <f t="shared" si="3"/>
        <v>0</v>
      </c>
      <c r="M17" s="43">
        <f t="shared" si="4"/>
        <v>0</v>
      </c>
    </row>
    <row r="18" spans="1:14" ht="17.25" customHeight="1" thickBot="1">
      <c r="A18" s="9">
        <v>14</v>
      </c>
      <c r="B18" s="31" t="s">
        <v>11</v>
      </c>
      <c r="C18" s="21"/>
      <c r="D18" s="22"/>
      <c r="E18" s="23">
        <v>0.31597222222222221</v>
      </c>
      <c r="F18" s="22">
        <v>0.625</v>
      </c>
      <c r="G18" s="34">
        <f t="shared" si="5"/>
        <v>0</v>
      </c>
      <c r="H18" s="72">
        <f>IF(F18&gt;D18,F18-D18,0)</f>
        <v>0.625</v>
      </c>
      <c r="I18" s="80">
        <f t="shared" si="6"/>
        <v>0.625</v>
      </c>
      <c r="J18" s="2">
        <f>J4</f>
        <v>0.5</v>
      </c>
      <c r="K18" s="40">
        <f t="shared" si="2"/>
        <v>0</v>
      </c>
      <c r="L18" s="16">
        <f t="shared" si="3"/>
        <v>450</v>
      </c>
      <c r="M18" s="43">
        <f t="shared" si="4"/>
        <v>450</v>
      </c>
      <c r="N18" s="6" t="s">
        <v>28</v>
      </c>
    </row>
    <row r="19" spans="1:14" ht="17.25" customHeight="1">
      <c r="A19" s="9">
        <v>15</v>
      </c>
      <c r="B19" s="10" t="s">
        <v>42</v>
      </c>
      <c r="C19" s="21"/>
      <c r="D19" s="22"/>
      <c r="E19" s="23">
        <v>0.31597222222222221</v>
      </c>
      <c r="F19" s="22">
        <v>0.625</v>
      </c>
      <c r="G19" s="34">
        <f t="shared" si="5"/>
        <v>0</v>
      </c>
      <c r="H19" s="72">
        <v>0</v>
      </c>
      <c r="I19" s="80">
        <f t="shared" si="6"/>
        <v>0</v>
      </c>
      <c r="J19" s="2">
        <f>J4</f>
        <v>0.5</v>
      </c>
      <c r="K19" s="40">
        <f t="shared" si="2"/>
        <v>0</v>
      </c>
      <c r="L19" s="16">
        <f t="shared" si="3"/>
        <v>0</v>
      </c>
      <c r="M19" s="43">
        <f t="shared" si="4"/>
        <v>0</v>
      </c>
    </row>
    <row r="20" spans="1:14" ht="17.25" customHeight="1">
      <c r="A20" s="9">
        <v>16</v>
      </c>
      <c r="B20" s="11" t="s">
        <v>44</v>
      </c>
      <c r="C20" s="21"/>
      <c r="D20" s="22"/>
      <c r="E20" s="23">
        <v>0.30555555555555552</v>
      </c>
      <c r="F20" s="22">
        <v>0.5625</v>
      </c>
      <c r="G20" s="34">
        <f t="shared" si="5"/>
        <v>0</v>
      </c>
      <c r="H20" s="72">
        <f t="shared" ref="H20:H26" si="7">IF(F20&gt;D20,F20-D20,0)</f>
        <v>0.5625</v>
      </c>
      <c r="I20" s="80">
        <f t="shared" si="6"/>
        <v>0.5625</v>
      </c>
      <c r="J20" s="2">
        <f>J4</f>
        <v>0.5</v>
      </c>
      <c r="K20" s="40">
        <f t="shared" si="2"/>
        <v>0</v>
      </c>
      <c r="L20" s="16">
        <f t="shared" si="3"/>
        <v>405</v>
      </c>
      <c r="M20" s="43">
        <f t="shared" si="4"/>
        <v>405</v>
      </c>
    </row>
    <row r="21" spans="1:14" ht="17.25" customHeight="1">
      <c r="A21" s="9">
        <v>17</v>
      </c>
      <c r="B21" s="11" t="s">
        <v>12</v>
      </c>
      <c r="C21" s="21"/>
      <c r="D21" s="22"/>
      <c r="E21" s="23">
        <v>0.30555555555555552</v>
      </c>
      <c r="F21" s="22">
        <v>0.625</v>
      </c>
      <c r="G21" s="34">
        <f t="shared" si="5"/>
        <v>0</v>
      </c>
      <c r="H21" s="72">
        <f t="shared" si="7"/>
        <v>0.625</v>
      </c>
      <c r="I21" s="80">
        <f t="shared" si="6"/>
        <v>0.625</v>
      </c>
      <c r="J21" s="2">
        <f>J4</f>
        <v>0.5</v>
      </c>
      <c r="K21" s="40">
        <f t="shared" si="2"/>
        <v>0</v>
      </c>
      <c r="L21" s="16">
        <f t="shared" si="3"/>
        <v>450</v>
      </c>
      <c r="M21" s="43">
        <f t="shared" si="4"/>
        <v>450</v>
      </c>
    </row>
    <row r="22" spans="1:14" ht="17.25" customHeight="1">
      <c r="A22" s="9">
        <v>18</v>
      </c>
      <c r="B22" s="11" t="s">
        <v>13</v>
      </c>
      <c r="C22" s="21"/>
      <c r="D22" s="22"/>
      <c r="E22" s="23">
        <v>0.30555555555555552</v>
      </c>
      <c r="F22" s="22">
        <v>0.625</v>
      </c>
      <c r="G22" s="34">
        <f t="shared" si="5"/>
        <v>0</v>
      </c>
      <c r="H22" s="72">
        <f t="shared" si="7"/>
        <v>0.625</v>
      </c>
      <c r="I22" s="80">
        <f t="shared" si="6"/>
        <v>0.625</v>
      </c>
      <c r="J22" s="2">
        <f>J4</f>
        <v>0.5</v>
      </c>
      <c r="K22" s="40">
        <f t="shared" si="2"/>
        <v>0</v>
      </c>
      <c r="L22" s="16">
        <f t="shared" si="3"/>
        <v>450</v>
      </c>
      <c r="M22" s="43">
        <f t="shared" si="4"/>
        <v>450</v>
      </c>
    </row>
    <row r="23" spans="1:14" ht="17.25" customHeight="1">
      <c r="A23" s="9">
        <v>19</v>
      </c>
      <c r="B23" s="11" t="s">
        <v>14</v>
      </c>
      <c r="C23" s="21"/>
      <c r="D23" s="22"/>
      <c r="E23" s="23">
        <v>0.30555555555555552</v>
      </c>
      <c r="F23" s="22">
        <v>0.625</v>
      </c>
      <c r="G23" s="34">
        <f t="shared" si="5"/>
        <v>0</v>
      </c>
      <c r="H23" s="72">
        <f t="shared" si="7"/>
        <v>0.625</v>
      </c>
      <c r="I23" s="80">
        <f t="shared" si="6"/>
        <v>0.625</v>
      </c>
      <c r="J23" s="2">
        <f>J4</f>
        <v>0.5</v>
      </c>
      <c r="K23" s="40">
        <f t="shared" si="2"/>
        <v>0</v>
      </c>
      <c r="L23" s="16">
        <f t="shared" si="3"/>
        <v>450</v>
      </c>
      <c r="M23" s="43">
        <f t="shared" si="4"/>
        <v>450</v>
      </c>
    </row>
    <row r="24" spans="1:14" ht="17.25" customHeight="1">
      <c r="A24" s="9">
        <v>20</v>
      </c>
      <c r="B24" s="10" t="s">
        <v>15</v>
      </c>
      <c r="C24" s="21"/>
      <c r="D24" s="22"/>
      <c r="E24" s="23">
        <v>0.3298611111111111</v>
      </c>
      <c r="F24" s="22">
        <v>0.56944444444444442</v>
      </c>
      <c r="G24" s="34">
        <f t="shared" si="5"/>
        <v>0</v>
      </c>
      <c r="H24" s="72">
        <f t="shared" si="7"/>
        <v>0.56944444444444442</v>
      </c>
      <c r="I24" s="80">
        <f t="shared" si="6"/>
        <v>0.56944444444444442</v>
      </c>
      <c r="J24" s="2">
        <f>J4</f>
        <v>0.5</v>
      </c>
      <c r="K24" s="40">
        <f t="shared" si="2"/>
        <v>0</v>
      </c>
      <c r="L24" s="16">
        <f t="shared" si="3"/>
        <v>410</v>
      </c>
      <c r="M24" s="43">
        <f t="shared" si="4"/>
        <v>410</v>
      </c>
    </row>
    <row r="25" spans="1:14" ht="17.25" customHeight="1">
      <c r="A25" s="9">
        <v>21</v>
      </c>
      <c r="B25" s="10" t="s">
        <v>16</v>
      </c>
      <c r="C25" s="21"/>
      <c r="D25" s="22"/>
      <c r="E25" s="23">
        <v>0.33333333333333331</v>
      </c>
      <c r="F25" s="22">
        <v>0.70833333333333337</v>
      </c>
      <c r="G25" s="34">
        <f t="shared" si="5"/>
        <v>0</v>
      </c>
      <c r="H25" s="72">
        <f t="shared" si="7"/>
        <v>0.70833333333333337</v>
      </c>
      <c r="I25" s="80">
        <f t="shared" si="6"/>
        <v>0.70833333333333337</v>
      </c>
      <c r="J25" s="2">
        <f>J4</f>
        <v>0.5</v>
      </c>
      <c r="K25" s="40">
        <f t="shared" si="2"/>
        <v>0</v>
      </c>
      <c r="L25" s="16">
        <f t="shared" si="3"/>
        <v>510</v>
      </c>
      <c r="M25" s="43">
        <f t="shared" si="4"/>
        <v>510</v>
      </c>
    </row>
    <row r="26" spans="1:14" ht="17.25" customHeight="1" thickBot="1">
      <c r="A26" s="13">
        <v>22</v>
      </c>
      <c r="B26" s="14" t="s">
        <v>17</v>
      </c>
      <c r="C26" s="24"/>
      <c r="D26" s="25"/>
      <c r="E26" s="26">
        <v>0.30555555555555552</v>
      </c>
      <c r="F26" s="25">
        <v>0.625</v>
      </c>
      <c r="G26" s="35">
        <f t="shared" si="5"/>
        <v>0</v>
      </c>
      <c r="H26" s="73">
        <f t="shared" si="7"/>
        <v>0.625</v>
      </c>
      <c r="I26" s="81">
        <f t="shared" si="6"/>
        <v>0.625</v>
      </c>
      <c r="J26" s="3">
        <f>J4</f>
        <v>0.5</v>
      </c>
      <c r="K26" s="41">
        <f t="shared" si="2"/>
        <v>0</v>
      </c>
      <c r="L26" s="17">
        <f t="shared" si="3"/>
        <v>450</v>
      </c>
      <c r="M26" s="44">
        <f t="shared" si="4"/>
        <v>450</v>
      </c>
    </row>
  </sheetData>
  <mergeCells count="6">
    <mergeCell ref="A1:M2"/>
    <mergeCell ref="A3:B3"/>
    <mergeCell ref="C3:D3"/>
    <mergeCell ref="E3:F3"/>
    <mergeCell ref="G3:I3"/>
    <mergeCell ref="K3:M3"/>
  </mergeCells>
  <printOptions horizontalCentered="1"/>
  <pageMargins left="0.11811023622047245" right="0.31496062992125984" top="0.74803149606299213" bottom="0.74803149606299213" header="0.31496062992125984" footer="0.31496062992125984"/>
  <pageSetup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6"/>
  <sheetViews>
    <sheetView zoomScale="85" zoomScaleNormal="85" workbookViewId="0">
      <selection activeCell="D14" sqref="D13:D14"/>
    </sheetView>
  </sheetViews>
  <sheetFormatPr baseColWidth="10" defaultRowHeight="15"/>
  <cols>
    <col min="1" max="1" width="3.5703125" customWidth="1"/>
    <col min="2" max="2" width="41.85546875" customWidth="1"/>
    <col min="3" max="3" width="14.140625" style="1" customWidth="1"/>
    <col min="4" max="8" width="14" style="1" customWidth="1"/>
    <col min="9" max="12" width="14" customWidth="1"/>
    <col min="13" max="13" width="14.28515625" customWidth="1"/>
  </cols>
  <sheetData>
    <row r="1" spans="1:14" ht="23.25" customHeight="1">
      <c r="A1" s="105" t="s">
        <v>46</v>
      </c>
      <c r="B1" s="105"/>
      <c r="C1" s="105"/>
      <c r="D1" s="105"/>
      <c r="E1" s="105"/>
      <c r="F1" s="69"/>
      <c r="G1" s="69"/>
      <c r="H1" s="69"/>
      <c r="I1" s="69"/>
      <c r="J1" s="69"/>
      <c r="K1" s="69"/>
      <c r="L1" s="70"/>
      <c r="M1" s="58"/>
    </row>
    <row r="2" spans="1:14" ht="33.75" customHeight="1">
      <c r="A2" s="105"/>
      <c r="B2" s="105"/>
      <c r="C2" s="105"/>
      <c r="D2" s="105"/>
      <c r="E2" s="105"/>
      <c r="F2" s="70"/>
      <c r="G2" s="70"/>
      <c r="H2" s="70"/>
      <c r="I2" s="70"/>
      <c r="J2" s="70"/>
      <c r="K2" s="70"/>
      <c r="L2" s="70"/>
      <c r="M2" s="58"/>
    </row>
    <row r="3" spans="1:14" ht="29.25" customHeight="1">
      <c r="A3" s="106" t="s">
        <v>40</v>
      </c>
      <c r="B3" s="107"/>
      <c r="C3" s="107" t="s">
        <v>37</v>
      </c>
      <c r="D3" s="107"/>
      <c r="E3" s="107"/>
      <c r="F3" s="82"/>
      <c r="G3" s="104"/>
      <c r="H3" s="104"/>
      <c r="I3" s="59"/>
      <c r="J3" s="104"/>
      <c r="K3" s="104"/>
      <c r="L3" s="104"/>
      <c r="M3" s="60"/>
    </row>
    <row r="4" spans="1:14" ht="17.25" customHeight="1">
      <c r="A4" s="108" t="s">
        <v>20</v>
      </c>
      <c r="B4" s="108" t="s">
        <v>21</v>
      </c>
      <c r="C4" s="108" t="s">
        <v>38</v>
      </c>
      <c r="D4" s="108" t="s">
        <v>39</v>
      </c>
      <c r="E4" s="109" t="s">
        <v>45</v>
      </c>
      <c r="F4" s="61"/>
      <c r="G4" s="61"/>
      <c r="H4" s="61"/>
      <c r="I4" s="62"/>
      <c r="J4" s="61"/>
      <c r="K4" s="61"/>
      <c r="L4" s="61"/>
      <c r="M4" s="60"/>
    </row>
    <row r="5" spans="1:14" ht="17.25" customHeight="1">
      <c r="C5"/>
      <c r="D5"/>
      <c r="E5"/>
      <c r="F5" s="63"/>
      <c r="G5" s="64"/>
      <c r="H5" s="64"/>
      <c r="I5" s="65"/>
      <c r="J5" s="65"/>
      <c r="L5" s="66"/>
      <c r="M5" s="60"/>
    </row>
    <row r="6" spans="1:14" ht="17.25" customHeight="1">
      <c r="C6"/>
      <c r="D6"/>
      <c r="E6"/>
      <c r="F6" s="63"/>
      <c r="G6" s="64"/>
      <c r="H6" s="64"/>
      <c r="I6" s="65"/>
      <c r="J6" s="65"/>
      <c r="L6" s="66"/>
      <c r="M6" s="60"/>
    </row>
    <row r="7" spans="1:14" ht="17.25" customHeight="1">
      <c r="C7"/>
      <c r="D7"/>
      <c r="E7"/>
      <c r="F7" s="63"/>
      <c r="G7" s="64"/>
      <c r="H7" s="64"/>
      <c r="I7" s="65"/>
      <c r="J7" s="65"/>
      <c r="L7" s="66"/>
      <c r="M7" s="67"/>
      <c r="N7" s="38"/>
    </row>
    <row r="8" spans="1:14" ht="17.25" customHeight="1">
      <c r="C8"/>
      <c r="D8"/>
      <c r="E8"/>
      <c r="F8" s="63"/>
      <c r="G8" s="64"/>
      <c r="H8" s="64"/>
      <c r="I8" s="65"/>
      <c r="J8" s="65"/>
      <c r="L8" s="66"/>
      <c r="M8" s="60"/>
      <c r="N8" s="38"/>
    </row>
    <row r="9" spans="1:14" ht="17.25" customHeight="1">
      <c r="C9"/>
      <c r="D9"/>
      <c r="E9"/>
      <c r="F9" s="63"/>
      <c r="G9" s="64"/>
      <c r="H9" s="64"/>
      <c r="I9" s="65"/>
      <c r="J9" s="65"/>
      <c r="L9" s="66"/>
      <c r="M9" s="60"/>
    </row>
    <row r="10" spans="1:14" ht="17.25" customHeight="1">
      <c r="C10"/>
      <c r="D10"/>
      <c r="E10"/>
      <c r="F10" s="63"/>
      <c r="G10" s="64"/>
      <c r="H10" s="64"/>
      <c r="I10" s="65"/>
      <c r="J10" s="65"/>
      <c r="L10" s="66"/>
      <c r="M10" s="60"/>
    </row>
    <row r="11" spans="1:14" ht="17.25" customHeight="1">
      <c r="C11"/>
      <c r="D11"/>
      <c r="E11"/>
      <c r="F11" s="63"/>
      <c r="G11" s="64"/>
      <c r="H11" s="64"/>
      <c r="I11" s="65"/>
      <c r="J11" s="65"/>
      <c r="L11" s="66"/>
      <c r="M11" s="60"/>
    </row>
    <row r="12" spans="1:14" ht="17.25" customHeight="1">
      <c r="C12"/>
      <c r="D12"/>
      <c r="E12"/>
      <c r="F12" s="63"/>
      <c r="G12" s="64"/>
      <c r="H12" s="64"/>
      <c r="I12" s="65"/>
      <c r="J12" s="65"/>
      <c r="L12" s="66"/>
      <c r="M12" s="60"/>
    </row>
    <row r="13" spans="1:14" ht="17.25" customHeight="1">
      <c r="C13"/>
      <c r="D13"/>
      <c r="E13"/>
      <c r="F13" s="63"/>
      <c r="G13" s="64"/>
      <c r="H13" s="64"/>
      <c r="I13" s="65"/>
      <c r="J13" s="65"/>
      <c r="L13" s="66"/>
      <c r="M13" s="60"/>
    </row>
    <row r="14" spans="1:14" ht="17.25" customHeight="1">
      <c r="C14"/>
      <c r="D14"/>
      <c r="E14"/>
      <c r="F14" s="63"/>
      <c r="G14" s="64"/>
      <c r="H14" s="64"/>
      <c r="I14" s="65"/>
      <c r="J14" s="65"/>
      <c r="L14" s="66"/>
      <c r="M14" s="60"/>
    </row>
    <row r="15" spans="1:14" ht="17.25" customHeight="1">
      <c r="C15"/>
      <c r="D15"/>
      <c r="E15"/>
      <c r="F15" s="63"/>
      <c r="G15" s="64"/>
      <c r="H15" s="64"/>
      <c r="I15" s="65"/>
      <c r="J15" s="65"/>
      <c r="L15" s="66"/>
      <c r="M15" s="60"/>
    </row>
    <row r="16" spans="1:14" ht="17.25" customHeight="1">
      <c r="C16"/>
      <c r="D16"/>
      <c r="E16"/>
      <c r="F16" s="63"/>
      <c r="G16" s="64"/>
      <c r="H16" s="64"/>
      <c r="I16" s="65"/>
      <c r="J16" s="65"/>
      <c r="L16" s="66"/>
      <c r="M16" s="60"/>
    </row>
    <row r="17" spans="3:13" ht="17.25" customHeight="1">
      <c r="C17"/>
      <c r="D17"/>
      <c r="E17"/>
      <c r="F17" s="63"/>
      <c r="G17" s="64"/>
      <c r="H17" s="64"/>
      <c r="I17" s="65"/>
      <c r="J17" s="65"/>
      <c r="L17" s="66"/>
      <c r="M17" s="60"/>
    </row>
    <row r="18" spans="3:13" ht="17.25" customHeight="1">
      <c r="C18"/>
      <c r="D18"/>
      <c r="E18"/>
      <c r="F18" s="63"/>
      <c r="G18" s="64"/>
      <c r="H18" s="64"/>
      <c r="I18" s="65"/>
      <c r="J18" s="65"/>
      <c r="L18" s="66"/>
      <c r="M18" s="68"/>
    </row>
    <row r="19" spans="3:13" ht="17.25" customHeight="1">
      <c r="C19"/>
      <c r="D19"/>
      <c r="E19"/>
      <c r="F19" s="63"/>
      <c r="G19" s="64"/>
      <c r="H19" s="64"/>
      <c r="I19" s="65"/>
      <c r="J19" s="65"/>
      <c r="L19" s="66"/>
      <c r="M19" s="60"/>
    </row>
    <row r="20" spans="3:13" ht="17.25" customHeight="1">
      <c r="C20"/>
      <c r="D20"/>
      <c r="E20"/>
      <c r="F20" s="63"/>
      <c r="G20" s="64"/>
      <c r="H20" s="64"/>
      <c r="I20" s="65"/>
      <c r="J20" s="65"/>
      <c r="L20" s="66"/>
      <c r="M20" s="60"/>
    </row>
    <row r="21" spans="3:13" ht="17.25" customHeight="1">
      <c r="C21"/>
      <c r="D21"/>
      <c r="E21"/>
      <c r="F21" s="63"/>
      <c r="G21" s="64"/>
      <c r="H21" s="64"/>
      <c r="I21" s="65"/>
      <c r="J21" s="65"/>
      <c r="L21" s="66"/>
      <c r="M21" s="60"/>
    </row>
    <row r="22" spans="3:13" ht="17.25" customHeight="1">
      <c r="C22"/>
      <c r="D22"/>
      <c r="E22"/>
      <c r="F22" s="63"/>
      <c r="G22" s="64"/>
      <c r="H22" s="64"/>
      <c r="I22" s="65"/>
      <c r="J22" s="65"/>
      <c r="L22" s="66"/>
      <c r="M22" s="60"/>
    </row>
    <row r="23" spans="3:13" ht="17.25" customHeight="1">
      <c r="C23"/>
      <c r="D23"/>
      <c r="E23"/>
      <c r="F23" s="63"/>
      <c r="G23" s="64"/>
      <c r="H23" s="64"/>
      <c r="I23" s="65"/>
      <c r="J23" s="65"/>
      <c r="L23" s="66"/>
      <c r="M23" s="60"/>
    </row>
    <row r="24" spans="3:13" ht="17.25" customHeight="1">
      <c r="C24"/>
      <c r="D24"/>
      <c r="E24"/>
      <c r="F24" s="63"/>
      <c r="G24" s="64"/>
      <c r="H24" s="64"/>
      <c r="I24" s="65"/>
      <c r="J24" s="65"/>
      <c r="L24" s="66"/>
      <c r="M24" s="60"/>
    </row>
    <row r="25" spans="3:13" ht="17.25" customHeight="1">
      <c r="C25"/>
      <c r="D25"/>
      <c r="E25"/>
      <c r="F25" s="63"/>
      <c r="G25" s="64"/>
      <c r="H25" s="64"/>
      <c r="I25" s="65"/>
      <c r="J25" s="65"/>
      <c r="L25" s="66"/>
      <c r="M25" s="60"/>
    </row>
    <row r="26" spans="3:13" ht="17.25" customHeight="1">
      <c r="C26"/>
      <c r="D26"/>
      <c r="E26"/>
      <c r="F26" s="63"/>
      <c r="G26" s="64"/>
      <c r="H26" s="64"/>
      <c r="I26" s="65"/>
      <c r="J26" s="65"/>
      <c r="L26" s="66"/>
      <c r="M26" s="60"/>
    </row>
  </sheetData>
  <mergeCells count="5">
    <mergeCell ref="J3:L3"/>
    <mergeCell ref="C3:E3"/>
    <mergeCell ref="A1:E2"/>
    <mergeCell ref="A3:B3"/>
    <mergeCell ref="G3:H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12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tabSelected="1" zoomScale="85" zoomScaleNormal="85" workbookViewId="0">
      <selection activeCell="N18" sqref="N18"/>
    </sheetView>
  </sheetViews>
  <sheetFormatPr baseColWidth="10" defaultRowHeight="15"/>
  <cols>
    <col min="1" max="1" width="3.5703125" customWidth="1"/>
    <col min="2" max="2" width="37.85546875" customWidth="1"/>
    <col min="3" max="9" width="14" style="1" customWidth="1"/>
    <col min="10" max="13" width="14" customWidth="1"/>
    <col min="14" max="14" width="14.28515625" customWidth="1"/>
  </cols>
  <sheetData>
    <row r="1" spans="1:15" ht="23.25" customHeight="1">
      <c r="A1" s="110" t="s">
        <v>31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</row>
    <row r="2" spans="1:15" ht="24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</row>
    <row r="3" spans="1:15" ht="17.25" customHeight="1">
      <c r="A3" s="111">
        <v>41939</v>
      </c>
      <c r="B3" s="112"/>
      <c r="C3" s="113" t="s">
        <v>24</v>
      </c>
      <c r="D3" s="113"/>
      <c r="E3" s="113" t="s">
        <v>25</v>
      </c>
      <c r="F3" s="113"/>
      <c r="G3" s="113" t="s">
        <v>29</v>
      </c>
      <c r="H3" s="113"/>
      <c r="I3" s="113"/>
      <c r="J3" s="114" t="s">
        <v>26</v>
      </c>
      <c r="K3" s="113" t="s">
        <v>30</v>
      </c>
      <c r="L3" s="113"/>
      <c r="M3" s="113"/>
    </row>
    <row r="4" spans="1:15" ht="17.25" customHeight="1">
      <c r="A4" s="108" t="s">
        <v>20</v>
      </c>
      <c r="B4" s="108" t="s">
        <v>21</v>
      </c>
      <c r="C4" s="108" t="s">
        <v>22</v>
      </c>
      <c r="D4" s="108" t="s">
        <v>23</v>
      </c>
      <c r="E4" s="115" t="s">
        <v>22</v>
      </c>
      <c r="F4" s="115" t="s">
        <v>23</v>
      </c>
      <c r="G4" s="115" t="s">
        <v>22</v>
      </c>
      <c r="H4" s="115" t="s">
        <v>23</v>
      </c>
      <c r="I4" s="115" t="s">
        <v>36</v>
      </c>
      <c r="J4" s="116">
        <v>0.5</v>
      </c>
      <c r="K4" s="115" t="s">
        <v>22</v>
      </c>
      <c r="L4" s="115" t="s">
        <v>23</v>
      </c>
      <c r="M4" s="115" t="s">
        <v>27</v>
      </c>
    </row>
    <row r="5" spans="1:15" ht="17.25" customHeight="1">
      <c r="C5"/>
      <c r="D5"/>
      <c r="E5"/>
      <c r="F5"/>
      <c r="G5"/>
      <c r="H5"/>
      <c r="I5"/>
    </row>
    <row r="6" spans="1:15" ht="17.25" customHeight="1">
      <c r="C6"/>
      <c r="D6"/>
      <c r="E6"/>
      <c r="F6"/>
      <c r="G6"/>
      <c r="H6"/>
      <c r="I6"/>
    </row>
    <row r="7" spans="1:15" ht="17.25" customHeight="1">
      <c r="C7"/>
      <c r="D7"/>
      <c r="E7"/>
      <c r="F7"/>
      <c r="G7"/>
      <c r="H7"/>
      <c r="I7"/>
      <c r="N7" s="27"/>
      <c r="O7" s="38"/>
    </row>
    <row r="8" spans="1:15" ht="17.25" customHeight="1">
      <c r="C8"/>
      <c r="D8"/>
      <c r="E8"/>
      <c r="F8"/>
      <c r="G8"/>
      <c r="H8"/>
      <c r="I8"/>
      <c r="O8" s="38"/>
    </row>
    <row r="9" spans="1:15" ht="17.25" customHeight="1">
      <c r="C9"/>
      <c r="D9"/>
      <c r="E9"/>
      <c r="F9"/>
      <c r="G9"/>
      <c r="H9"/>
      <c r="I9"/>
    </row>
    <row r="10" spans="1:15" ht="17.25" customHeight="1">
      <c r="C10"/>
      <c r="D10"/>
      <c r="E10"/>
      <c r="F10"/>
      <c r="G10"/>
      <c r="H10"/>
      <c r="I10"/>
    </row>
    <row r="11" spans="1:15" ht="17.25" customHeight="1">
      <c r="C11"/>
      <c r="D11"/>
      <c r="E11"/>
      <c r="F11"/>
      <c r="G11"/>
      <c r="H11"/>
      <c r="I11"/>
    </row>
    <row r="12" spans="1:15" ht="17.25" customHeight="1">
      <c r="C12"/>
      <c r="D12"/>
      <c r="E12"/>
      <c r="F12"/>
      <c r="G12"/>
      <c r="H12"/>
      <c r="I12"/>
    </row>
    <row r="13" spans="1:15" ht="17.25" customHeight="1">
      <c r="C13"/>
      <c r="D13"/>
      <c r="E13"/>
      <c r="F13"/>
      <c r="G13"/>
      <c r="H13"/>
      <c r="I13"/>
    </row>
    <row r="14" spans="1:15" ht="17.25" customHeight="1">
      <c r="C14"/>
      <c r="D14"/>
      <c r="E14"/>
      <c r="F14"/>
      <c r="G14"/>
      <c r="H14"/>
      <c r="I14"/>
    </row>
    <row r="15" spans="1:15" ht="17.25" customHeight="1">
      <c r="C15"/>
      <c r="D15"/>
      <c r="E15"/>
      <c r="F15"/>
      <c r="G15"/>
      <c r="H15"/>
      <c r="I15"/>
    </row>
    <row r="16" spans="1:15" ht="17.25" customHeight="1">
      <c r="C16"/>
      <c r="D16"/>
      <c r="E16"/>
      <c r="F16"/>
      <c r="G16"/>
      <c r="H16"/>
      <c r="I16"/>
    </row>
    <row r="17" spans="3:9" ht="17.25" customHeight="1">
      <c r="C17"/>
      <c r="D17"/>
      <c r="E17"/>
      <c r="F17"/>
      <c r="G17"/>
      <c r="H17"/>
      <c r="I17"/>
    </row>
    <row r="18" spans="3:9" ht="17.25" customHeight="1">
      <c r="C18"/>
      <c r="D18"/>
      <c r="E18"/>
      <c r="F18"/>
      <c r="G18"/>
      <c r="H18"/>
      <c r="I18"/>
    </row>
    <row r="19" spans="3:9" ht="17.25" customHeight="1">
      <c r="C19"/>
      <c r="D19"/>
      <c r="E19"/>
      <c r="F19"/>
      <c r="G19"/>
      <c r="H19"/>
      <c r="I19"/>
    </row>
    <row r="20" spans="3:9" ht="17.25" customHeight="1">
      <c r="C20"/>
      <c r="D20"/>
      <c r="E20"/>
      <c r="F20"/>
      <c r="G20"/>
      <c r="H20"/>
      <c r="I20"/>
    </row>
    <row r="21" spans="3:9" ht="17.25" customHeight="1">
      <c r="C21"/>
      <c r="D21"/>
      <c r="E21"/>
      <c r="F21"/>
      <c r="G21"/>
      <c r="H21"/>
      <c r="I21"/>
    </row>
    <row r="22" spans="3:9" ht="17.25" customHeight="1">
      <c r="C22"/>
      <c r="D22"/>
      <c r="E22"/>
      <c r="F22"/>
      <c r="G22"/>
      <c r="H22"/>
      <c r="I22"/>
    </row>
    <row r="23" spans="3:9" ht="17.25" customHeight="1">
      <c r="C23"/>
      <c r="D23"/>
      <c r="E23"/>
      <c r="F23"/>
      <c r="G23"/>
      <c r="H23"/>
      <c r="I23"/>
    </row>
    <row r="24" spans="3:9" ht="17.25" customHeight="1">
      <c r="C24"/>
      <c r="D24"/>
      <c r="E24"/>
      <c r="F24"/>
      <c r="G24"/>
      <c r="H24"/>
      <c r="I24"/>
    </row>
    <row r="25" spans="3:9" ht="17.25" customHeight="1">
      <c r="C25"/>
      <c r="D25"/>
      <c r="E25"/>
      <c r="F25"/>
      <c r="G25"/>
      <c r="H25"/>
      <c r="I25"/>
    </row>
    <row r="26" spans="3:9" ht="17.25" customHeight="1">
      <c r="C26"/>
      <c r="D26"/>
      <c r="E26"/>
      <c r="F26"/>
      <c r="G26"/>
      <c r="H26"/>
      <c r="I26"/>
    </row>
  </sheetData>
  <sortState ref="B5:M26">
    <sortCondition ref="B5:B26"/>
  </sortState>
  <mergeCells count="6">
    <mergeCell ref="A1:M2"/>
    <mergeCell ref="A3:B3"/>
    <mergeCell ref="C3:D3"/>
    <mergeCell ref="E3:F3"/>
    <mergeCell ref="G3:I3"/>
    <mergeCell ref="K3:M3"/>
  </mergeCells>
  <printOptions horizontalCentered="1"/>
  <pageMargins left="0.11811023622047245" right="0.31496062992125984" top="0.74803149606299213" bottom="0.74803149606299213" header="0.31496062992125984" footer="0.31496062992125984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REGISTROS</vt:lpstr>
      <vt:lpstr>PLANTILLA</vt:lpstr>
      <vt:lpstr>RESULTADOS</vt:lpstr>
      <vt:lpstr>20-10-14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Ernesto Castillo Alcalde</dc:creator>
  <cp:lastModifiedBy>Zarkiel</cp:lastModifiedBy>
  <cp:lastPrinted>2014-10-25T15:09:58Z</cp:lastPrinted>
  <dcterms:created xsi:type="dcterms:W3CDTF">2014-03-10T22:50:39Z</dcterms:created>
  <dcterms:modified xsi:type="dcterms:W3CDTF">2015-02-12T23:29:49Z</dcterms:modified>
</cp:coreProperties>
</file>